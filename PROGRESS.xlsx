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rn-up" sheetId="2" state="visible" r:id="rId2"/>
    <sheet xmlns:r="http://schemas.openxmlformats.org/officeDocument/2006/relationships" name="Track A" sheetId="3" state="visible" r:id="rId3"/>
    <sheet xmlns:r="http://schemas.openxmlformats.org/officeDocument/2006/relationships" name="Track B" sheetId="4" state="visible" r:id="rId4"/>
    <sheet xmlns:r="http://schemas.openxmlformats.org/officeDocument/2006/relationships" name="Blockers" sheetId="5" state="visible" r:id="rId5"/>
    <sheet xmlns:r="http://schemas.openxmlformats.org/officeDocument/2006/relationships" name="Decisions" sheetId="6" state="visible" r:id="rId6"/>
    <sheet xmlns:r="http://schemas.openxmlformats.org/officeDocument/2006/relationships" name="Gaps" sheetId="7" state="visible" r:id="rId7"/>
    <sheet xmlns:r="http://schemas.openxmlformats.org/officeDocument/2006/relationships" name="Lessons" sheetId="8" state="visible" r:id="rId8"/>
  </sheets>
  <definedNames>
    <definedName name="_xlnm._FilterDatabase" localSheetId="1" hidden="1">'Burn-up'!$B$4:$G$16</definedName>
    <definedName name="_xlnm._FilterDatabase" localSheetId="2" hidden="1">'Track A'!$B$1:$G$58</definedName>
    <definedName name="_xlnm._FilterDatabase" localSheetId="3" hidden="1">'Track B'!$B$1:$H$9</definedName>
    <definedName name="_xlnm._FilterDatabase" localSheetId="4" hidden="1">'Blockers'!$B$5:$G$25</definedName>
    <definedName name="_xlnm._FilterDatabase" localSheetId="5" hidden="1">'Decisions'!$B$5:$E$25</definedName>
    <definedName name="_xlnm._FilterDatabase" localSheetId="6" hidden="1">'Gaps'!$B$5:$F$17</definedName>
    <definedName name="_xlnm._FilterDatabase" localSheetId="7" hidden="1">'Lessons'!$B$5:$E$35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28251D"/>
      <sz val="18"/>
    </font>
    <font>
      <name val="Calibri"/>
      <charset val="1"/>
      <family val="0"/>
      <i val="1"/>
      <color rgb="FF7A7974"/>
      <sz val="10"/>
    </font>
    <font>
      <name val="Calibri"/>
      <charset val="1"/>
      <family val="0"/>
      <b val="1"/>
      <color rgb="FF01696F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8251D"/>
      <sz val="11"/>
    </font>
    <font>
      <b val="1"/>
      <color rgb="00FFFFFF"/>
    </font>
    <font>
      <color rgb="00808080"/>
    </font>
    <font>
      <color rgb="00006100"/>
    </font>
    <font>
      <b val="1"/>
      <color rgb="001F4E79"/>
    </font>
    <font>
      <color rgb="00A6A6A6"/>
    </font>
    <font>
      <color rgb="009C6500"/>
    </font>
    <font>
      <i val="1"/>
      <color rgb="005F497A"/>
    </font>
  </fonts>
  <fills count="9">
    <fill>
      <patternFill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E4DFEC"/>
      </patternFill>
    </fill>
  </fills>
  <borders count="7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 style="thin">
        <color rgb="FFD4D1CA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top" wrapText="1"/>
    </xf>
    <xf numFmtId="0" fontId="9" fillId="3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4" fillId="7" borderId="6" applyAlignment="1" pivotButton="0" quotePrefix="0" xfId="0">
      <alignment horizontal="center" vertical="center"/>
    </xf>
    <xf numFmtId="0" fontId="15" fillId="8" borderId="6" applyAlignment="1" pivotButton="0" quotePrefix="0" xfId="0">
      <alignment horizontal="center"/>
    </xf>
    <xf numFmtId="0" fontId="8" fillId="0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2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9ECEF"/>
          <bgColor rgb="FF000000"/>
        </patternFill>
      </fill>
    </dxf>
    <dxf>
      <fill>
        <patternFill patternType="solid">
          <fgColor rgb="FF6C757D"/>
          <bgColor rgb="FF000000"/>
        </patternFill>
      </fill>
    </dxf>
    <dxf>
      <font>
        <name val="Calibri"/>
        <charset val="1"/>
        <family val="0"/>
        <b val="1"/>
        <color rgb="FF2E7D32"/>
        <sz val="11"/>
      </font>
      <fill>
        <patternFill>
          <bgColor rgb="FFC8E6C9"/>
        </patternFill>
      </fill>
    </dxf>
    <dxf>
      <font>
        <name val="Calibri"/>
        <charset val="1"/>
        <family val="0"/>
        <b val="1"/>
        <color rgb="FF856404"/>
        <sz val="11"/>
      </font>
      <fill>
        <patternFill>
          <bgColor rgb="FFFFF3CD"/>
        </patternFill>
      </fill>
    </dxf>
    <dxf>
      <font>
        <name val="Calibri"/>
        <charset val="1"/>
        <family val="0"/>
        <b val="1"/>
        <color rgb="FFA12C7B"/>
        <sz val="11"/>
      </font>
      <fill>
        <patternFill>
          <bgColor rgb="FFF8D7DA"/>
        </patternFill>
      </fill>
    </dxf>
    <dxf>
      <font>
        <name val="Calibri"/>
        <charset val="1"/>
        <family val="0"/>
        <color rgb="FF6C757D"/>
        <sz val="11"/>
      </font>
      <fill>
        <patternFill>
          <bgColor rgb="FFE9ECEF"/>
        </patternFill>
      </fill>
    </dxf>
    <dxf>
      <font>
        <name val="Calibri"/>
        <charset val="1"/>
        <family val="0"/>
        <i val="1"/>
        <color rgb="FF495057"/>
        <sz val="11"/>
      </font>
      <fill>
        <patternFill>
          <bgColor rgb="FFE2E3E5"/>
        </patternFill>
      </fill>
    </dxf>
    <dxf>
      <font>
        <name val="Calibri"/>
        <charset val="1"/>
        <family val="0"/>
        <strike val="1"/>
        <color rgb="FFFFFFFF"/>
        <sz val="11"/>
      </font>
      <fill>
        <patternFill>
          <bgColor rgb="FF6C757D"/>
        </patternFill>
      </fill>
    </dxf>
    <dxf>
      <font>
        <name val="Calibri"/>
        <charset val="1"/>
        <family val="0"/>
        <b val="1"/>
        <color rgb="FF2E7D32"/>
        <sz val="11"/>
      </font>
      <fill>
        <patternFill>
          <bgColor rgb="FFC8E6C9"/>
        </patternFill>
      </fill>
    </dxf>
    <dxf>
      <font>
        <name val="Calibri"/>
        <charset val="1"/>
        <family val="0"/>
        <b val="1"/>
        <color rgb="FF856404"/>
        <sz val="11"/>
      </font>
      <fill>
        <patternFill>
          <bgColor rgb="FFFFF3CD"/>
        </patternFill>
      </fill>
    </dxf>
    <dxf>
      <font>
        <name val="Calibri"/>
        <charset val="1"/>
        <family val="0"/>
        <b val="1"/>
        <color rgb="FFA12C7B"/>
        <sz val="11"/>
      </font>
      <fill>
        <patternFill>
          <bgColor rgb="FFF8D7DA"/>
        </patternFill>
      </fill>
    </dxf>
    <dxf>
      <font>
        <name val="Calibri"/>
        <charset val="1"/>
        <family val="0"/>
        <color rgb="FF6C757D"/>
        <sz val="11"/>
      </font>
      <fill>
        <patternFill>
          <bgColor rgb="FFE9ECEF"/>
        </patternFill>
      </fill>
    </dxf>
    <dxf>
      <font>
        <name val="Calibri"/>
        <charset val="1"/>
        <family val="0"/>
        <i val="1"/>
        <color rgb="FF495057"/>
        <sz val="11"/>
      </font>
      <fill>
        <patternFill>
          <bgColor rgb="FFE2E3E5"/>
        </patternFill>
      </fill>
    </dxf>
    <dxf>
      <font>
        <name val="Calibri"/>
        <charset val="1"/>
        <family val="0"/>
        <strike val="1"/>
        <color rgb="FFFFFFFF"/>
        <sz val="11"/>
      </font>
      <fill>
        <patternFill>
          <bgColor rgb="FF6C757D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5640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1696F"/>
      <rgbColor rgb="FFD4D1CA"/>
      <rgbColor rgb="FF7A7974"/>
      <rgbColor rgb="FF9999FF"/>
      <rgbColor rgb="FFA12C7B"/>
      <rgbColor rgb="FFFFF3CD"/>
      <rgbColor rgb="FFE9ECEF"/>
      <rgbColor rgb="FF660066"/>
      <rgbColor rgb="FFFF8080"/>
      <rgbColor rgb="FF0066CC"/>
      <rgbColor rgb="FFE2E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C757D"/>
      <rgbColor rgb="FF969696"/>
      <rgbColor rgb="FF003366"/>
      <rgbColor rgb="FF2E7D32"/>
      <rgbColor rgb="FF003300"/>
      <rgbColor rgb="FF333300"/>
      <rgbColor rgb="FF993300"/>
      <rgbColor rgb="FF993366"/>
      <rgbColor rgb="FF495057"/>
      <rgbColor rgb="FF28251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28" customWidth="1" style="9" min="2" max="2"/>
    <col width="14" customWidth="1" style="9" min="3" max="7"/>
    <col width="4" customWidth="1" style="9" min="8" max="8"/>
    <col width="36" customWidth="1" style="9" min="9" max="9"/>
  </cols>
  <sheetData>
    <row r="1" ht="15" customHeight="1" s="10"/>
    <row r="2" ht="21.75" customHeight="1" s="10">
      <c r="B2" s="11" t="inlineStr">
        <is>
          <t>RCA MVP — Progress Tracker</t>
        </is>
      </c>
    </row>
    <row r="3" ht="15" customHeight="1" s="10">
      <c r="B3" s="12" t="inlineStr">
        <is>
          <t>Updated 2026-06-09 - Verified from code - Track A 20/57 done - Track B 8/8 done · EPIC-005 tier catalogs deferred (Phase 1: all tools exposed)</t>
        </is>
      </c>
    </row>
    <row r="4" ht="15" customHeight="1" s="10"/>
    <row r="5" ht="15" customHeight="1" s="10">
      <c r="B5" s="13" t="inlineStr">
        <is>
          <t>Overall</t>
        </is>
      </c>
    </row>
    <row r="6" ht="15" customHeight="1" s="10">
      <c r="B6" s="14" t="inlineStr">
        <is>
          <t>Bucket</t>
        </is>
      </c>
      <c r="C6" s="14" t="inlineStr">
        <is>
          <t>Total</t>
        </is>
      </c>
      <c r="D6" s="14" t="inlineStr">
        <is>
          <t>Done</t>
        </is>
      </c>
      <c r="E6" s="14" t="inlineStr">
        <is>
          <t>In progress</t>
        </is>
      </c>
      <c r="F6" s="14" t="inlineStr">
        <is>
          <t>Blocked</t>
        </is>
      </c>
      <c r="G6" s="14" t="inlineStr">
        <is>
          <t>Not started</t>
        </is>
      </c>
    </row>
    <row r="7" ht="15" customHeight="1" s="10">
      <c r="B7" s="15" t="inlineStr">
        <is>
          <t>Track A (Product)</t>
        </is>
      </c>
      <c r="C7" s="16">
        <f>COUNTA('Track A'!D2:D200)</f>
        <v/>
      </c>
      <c r="D7" s="16">
        <f>COUNTIF('Track A'!D2:D200,"Done")</f>
        <v/>
      </c>
      <c r="E7" s="16">
        <f>COUNTIF('Track A'!D2:D200,"In progress")</f>
        <v/>
      </c>
      <c r="F7" s="16">
        <f>COUNTIF('Track A'!D2:D200,"Blocked")</f>
        <v/>
      </c>
      <c r="G7" s="16">
        <f>COUNTIF('Track A'!D2:D200,"Not started")</f>
        <v/>
      </c>
    </row>
    <row r="8" ht="15" customHeight="1" s="10">
      <c r="B8" s="15" t="inlineStr">
        <is>
          <t>Track B (Simulators)</t>
        </is>
      </c>
      <c r="C8" s="16">
        <f>COUNTA('Track B'!E2:E200)</f>
        <v/>
      </c>
      <c r="D8" s="16">
        <f>COUNTIF('Track B'!E2:E200,"Done")</f>
        <v/>
      </c>
      <c r="E8" s="16">
        <f>COUNTIF('Track B'!E2:E200,"In progress")</f>
        <v/>
      </c>
      <c r="F8" s="16">
        <f>COUNTIF('Track B'!E2:E200,"Blocked")</f>
        <v/>
      </c>
      <c r="G8" s="16">
        <f>COUNTIF('Track B'!E2:E200,"Not started")</f>
        <v/>
      </c>
    </row>
    <row r="9" ht="15" customHeight="1" s="10">
      <c r="B9" s="15" t="inlineStr">
        <is>
          <t>Gaps</t>
        </is>
      </c>
      <c r="C9" s="16">
        <f>COUNTA(Gaps!D2:D20)</f>
        <v/>
      </c>
      <c r="D9" s="16">
        <f>COUNTIF(Gaps!D2:D20,"Done")</f>
        <v/>
      </c>
      <c r="E9" s="16">
        <f>COUNTIF(Gaps!D2:D20,"In progress")</f>
        <v/>
      </c>
      <c r="F9" s="16">
        <f>COUNTIF(Gaps!D2:D20,"Blocked")</f>
        <v/>
      </c>
      <c r="G9" s="16">
        <f>COUNTIF(Gaps!D2:D20,"Not started")</f>
        <v/>
      </c>
    </row>
    <row r="10" ht="15" customHeight="1" s="10"/>
    <row r="11" ht="15" customHeight="1" s="10"/>
    <row r="12" ht="15" customHeight="1" s="10">
      <c r="B12" s="13" t="inlineStr">
        <is>
          <t>Epics — Track A</t>
        </is>
      </c>
    </row>
    <row r="13" ht="15" customHeight="1" s="10">
      <c r="B13" s="14" t="inlineStr">
        <is>
          <t>Epic</t>
        </is>
      </c>
      <c r="C13" s="14" t="inlineStr">
        <is>
          <t>Total</t>
        </is>
      </c>
      <c r="D13" s="14" t="inlineStr">
        <is>
          <t>Done</t>
        </is>
      </c>
      <c r="E13" s="14" t="inlineStr">
        <is>
          <t>In progress</t>
        </is>
      </c>
      <c r="F13" s="14" t="inlineStr">
        <is>
          <t>Blocked</t>
        </is>
      </c>
      <c r="G13" s="14" t="inlineStr">
        <is>
          <t>Status</t>
        </is>
      </c>
    </row>
    <row r="14" ht="15" customHeight="1" s="10">
      <c r="B14" s="15" t="inlineStr">
        <is>
          <t>EPIC-001 Foundations</t>
        </is>
      </c>
      <c r="C14" s="16">
        <f>COUNTIF('Track A'!B2:B200,"S1.*")</f>
        <v/>
      </c>
      <c r="D14" s="16">
        <f>COUNTIFS('Track A'!B2:B200,"S1.*",'Track A'!D2:D200,"Done")</f>
        <v/>
      </c>
      <c r="E14" s="16">
        <f>COUNTIFS('Track A'!B2:B200,"S1.*",'Track A'!D2:D200,"In progress")</f>
        <v/>
      </c>
      <c r="F14" s="16">
        <f>COUNTIFS('Track A'!B2:B200,"S1.*",'Track A'!D2:D200,"Blocked")</f>
        <v/>
      </c>
      <c r="G14" s="16">
        <f>IF(D14=C14,"✓ Done",IF(E14&gt;0,"In progress",IF(F14&gt;0,"Blocked","Not started")))</f>
        <v/>
      </c>
    </row>
    <row r="15" ht="15" customHeight="1" s="10">
      <c r="B15" s="15" t="inlineStr">
        <is>
          <t>EPIC-012 MAR</t>
        </is>
      </c>
      <c r="C15" s="16">
        <f>COUNTIF('Track A'!B2:B200,"S12.*")</f>
        <v/>
      </c>
      <c r="D15" s="16">
        <f>COUNTIFS('Track A'!B2:B200,"S12.*",'Track A'!D2:D200,"Done")</f>
        <v/>
      </c>
      <c r="E15" s="16">
        <f>COUNTIFS('Track A'!B2:B200,"S12.*",'Track A'!D2:D200,"In progress")</f>
        <v/>
      </c>
      <c r="F15" s="16">
        <f>COUNTIFS('Track A'!B2:B200,"S12.*",'Track A'!D2:D200,"Blocked")</f>
        <v/>
      </c>
      <c r="G15" s="16">
        <f>IF(D15=C15,"✓ Done",IF(E15&gt;0,"In progress",IF(F15&gt;0,"Blocked","Not started")))</f>
        <v/>
      </c>
    </row>
    <row r="16" ht="15" customHeight="1" s="10">
      <c r="B16" s="15" t="inlineStr">
        <is>
          <t>EPIC-003 TRS</t>
        </is>
      </c>
      <c r="C16" s="16">
        <f>COUNTIF('Track A'!B2:B200,"S3.*")</f>
        <v/>
      </c>
      <c r="D16" s="16">
        <f>COUNTIFS('Track A'!B2:B200,"S3.*",'Track A'!D2:D200,"Done")</f>
        <v/>
      </c>
      <c r="E16" s="16">
        <f>COUNTIFS('Track A'!B2:B200,"S3.*",'Track A'!D2:D200,"In progress")</f>
        <v/>
      </c>
      <c r="F16" s="16">
        <f>COUNTIFS('Track A'!B2:B200,"S3.*",'Track A'!D2:D200,"Blocked")</f>
        <v/>
      </c>
      <c r="G16" s="16">
        <f>IF(D16=C16,"✓ Done",IF(E16&gt;0,"In progress",IF(F16&gt;0,"Blocked","Not started")))</f>
        <v/>
      </c>
    </row>
    <row r="17" ht="15" customHeight="1" s="10">
      <c r="B17" s="15" t="inlineStr">
        <is>
          <t>EPIC-004 Templates</t>
        </is>
      </c>
      <c r="C17" s="16">
        <f>COUNTIF('Track A'!B2:B200,"S4.*")</f>
        <v/>
      </c>
      <c r="D17" s="16">
        <f>COUNTIFS('Track A'!B2:B200,"S4.*",'Track A'!D2:D200,"Done")</f>
        <v/>
      </c>
      <c r="E17" s="16">
        <f>COUNTIFS('Track A'!B2:B200,"S4.*",'Track A'!D2:D200,"In progress")</f>
        <v/>
      </c>
      <c r="F17" s="16">
        <f>COUNTIFS('Track A'!B2:B200,"S4.*",'Track A'!D2:D200,"Blocked")</f>
        <v/>
      </c>
      <c r="G17" s="16">
        <f>IF(D17=C17,"✓ Done",IF(E17&gt;0,"In progress",IF(F17&gt;0,"Blocked","Not started")))</f>
        <v/>
      </c>
    </row>
    <row r="18" ht="15" customHeight="1" s="10">
      <c r="B18" s="15" t="inlineStr">
        <is>
          <t>EPIC-013 Connectors</t>
        </is>
      </c>
      <c r="C18" s="16">
        <f>COUNTIF('Track A'!B2:B200,"S13.*")</f>
        <v/>
      </c>
      <c r="D18" s="16">
        <f>COUNTIFS('Track A'!B2:B200,"S13.*",'Track A'!D2:D200,"Done")</f>
        <v/>
      </c>
      <c r="E18" s="16">
        <f>COUNTIFS('Track A'!B2:B200,"S13.*",'Track A'!D2:D200,"In progress")</f>
        <v/>
      </c>
      <c r="F18" s="16">
        <f>COUNTIFS('Track A'!B2:B200,"S13.*",'Track A'!D2:D200,"Blocked")</f>
        <v/>
      </c>
      <c r="G18" s="16">
        <f>IF(D18=C18,"✓ Done",IF(E18&gt;0,"In progress",IF(F18&gt;0,"Blocked","Not started")))</f>
        <v/>
      </c>
    </row>
    <row r="19" ht="15" customHeight="1" s="10">
      <c r="B19" s="15" t="inlineStr">
        <is>
          <t>EPIC-005 MCP</t>
        </is>
      </c>
      <c r="C19" s="16">
        <f>COUNTIF('Track A'!B2:B200,"S5.*")</f>
        <v/>
      </c>
      <c r="D19" s="16">
        <f>COUNTIFS('Track A'!B2:B200,"S5.*",'Track A'!D2:D200,"Done")</f>
        <v/>
      </c>
      <c r="E19" s="16">
        <f>COUNTIFS('Track A'!B2:B200,"S5.*",'Track A'!D2:D200,"In progress")</f>
        <v/>
      </c>
      <c r="F19" s="16">
        <f>COUNTIFS('Track A'!B2:B200,"S5.*",'Track A'!D2:D200,"Blocked")</f>
        <v/>
      </c>
      <c r="G19" s="16">
        <f>IF(D19=C19,"✓ Done",IF(E19&gt;0,"In progress",IF(F19&gt;0,"Blocked","Not started")))</f>
        <v/>
      </c>
    </row>
    <row r="20" ht="15" customHeight="1" s="10">
      <c r="B20" s="15" t="inlineStr">
        <is>
          <t>EPIC-006 Temporal</t>
        </is>
      </c>
      <c r="C20" s="16">
        <f>COUNTIF('Track A'!B2:B200,"S6.*")</f>
        <v/>
      </c>
      <c r="D20" s="16">
        <f>COUNTIFS('Track A'!B2:B200,"S6.*",'Track A'!D2:D200,"Done")</f>
        <v/>
      </c>
      <c r="E20" s="16">
        <f>COUNTIFS('Track A'!B2:B200,"S6.*",'Track A'!D2:D200,"In progress")</f>
        <v/>
      </c>
      <c r="F20" s="16">
        <f>COUNTIFS('Track A'!B2:B200,"S6.*",'Track A'!D2:D200,"Blocked")</f>
        <v/>
      </c>
      <c r="G20" s="16">
        <f>IF(D20=C20,"✓ Done",IF(E20&gt;0,"In progress",IF(F20&gt;0,"Blocked","Not started")))</f>
        <v/>
      </c>
    </row>
    <row r="21" ht="15" customHeight="1" s="10">
      <c r="B21" s="15" t="inlineStr">
        <is>
          <t>EPIC-007 Agents</t>
        </is>
      </c>
      <c r="C21" s="16">
        <f>COUNTIF('Track A'!B2:B200,"S7.*")</f>
        <v/>
      </c>
      <c r="D21" s="16">
        <f>COUNTIFS('Track A'!B2:B200,"S7.*",'Track A'!D2:D200,"Done")</f>
        <v/>
      </c>
      <c r="E21" s="16">
        <f>COUNTIFS('Track A'!B2:B200,"S7.*",'Track A'!D2:D200,"In progress")</f>
        <v/>
      </c>
      <c r="F21" s="16">
        <f>COUNTIFS('Track A'!B2:B200,"S7.*",'Track A'!D2:D200,"Blocked")</f>
        <v/>
      </c>
      <c r="G21" s="16">
        <f>IF(D21=C21,"✓ Done",IF(E21&gt;0,"In progress",IF(F21&gt;0,"Blocked","Not started")))</f>
        <v/>
      </c>
    </row>
    <row r="22" ht="15" customHeight="1" s="10">
      <c r="B22" s="15" t="inlineStr">
        <is>
          <t>EPIC-008 HITL UI</t>
        </is>
      </c>
      <c r="C22" s="16">
        <f>COUNTIF('Track A'!B2:B200,"S8.*")</f>
        <v/>
      </c>
      <c r="D22" s="16">
        <f>COUNTIFS('Track A'!B2:B200,"S8.*",'Track A'!D2:D200,"Done")</f>
        <v/>
      </c>
      <c r="E22" s="16">
        <f>COUNTIFS('Track A'!B2:B200,"S8.*",'Track A'!D2:D200,"In progress")</f>
        <v/>
      </c>
      <c r="F22" s="16">
        <f>COUNTIFS('Track A'!B2:B200,"S8.*",'Track A'!D2:D200,"Blocked")</f>
        <v/>
      </c>
      <c r="G22" s="16">
        <f>IF(D22=C22,"✓ Done",IF(E22&gt;0,"In progress",IF(F22&gt;0,"Blocked","Not started")))</f>
        <v/>
      </c>
    </row>
    <row r="23" ht="15" customHeight="1" s="10">
      <c r="B23" s="15" t="inlineStr">
        <is>
          <t>EPIC-009 Eval</t>
        </is>
      </c>
      <c r="C23" s="16">
        <f>COUNTIF('Track A'!B2:B200,"S9.*")</f>
        <v/>
      </c>
      <c r="D23" s="16">
        <f>COUNTIFS('Track A'!B2:B200,"S9.*",'Track A'!D2:D200,"Done")</f>
        <v/>
      </c>
      <c r="E23" s="16">
        <f>COUNTIFS('Track A'!B2:B200,"S9.*",'Track A'!D2:D200,"In progress")</f>
        <v/>
      </c>
      <c r="F23" s="16">
        <f>COUNTIFS('Track A'!B2:B200,"S9.*",'Track A'!D2:D200,"Blocked")</f>
        <v/>
      </c>
      <c r="G23" s="16">
        <f>IF(D23=C23,"✓ Done",IF(E23&gt;0,"In progress",IF(F23&gt;0,"Blocked","Not started")))</f>
        <v/>
      </c>
    </row>
    <row r="24" ht="15" customHeight="1" s="10">
      <c r="B24" s="15" t="inlineStr">
        <is>
          <t>EPIC-010 Observability</t>
        </is>
      </c>
      <c r="C24" s="16">
        <f>COUNTIF('Track A'!B2:B200,"S10.*")</f>
        <v/>
      </c>
      <c r="D24" s="16">
        <f>COUNTIFS('Track A'!B2:B200,"S10.*",'Track A'!D2:D200,"Done")</f>
        <v/>
      </c>
      <c r="E24" s="16">
        <f>COUNTIFS('Track A'!B2:B200,"S10.*",'Track A'!D2:D200,"In progress")</f>
        <v/>
      </c>
      <c r="F24" s="16">
        <f>COUNTIFS('Track A'!B2:B200,"S10.*",'Track A'!D2:D200,"Blocked")</f>
        <v/>
      </c>
      <c r="G24" s="16">
        <f>IF(D24=C24,"✓ Done",IF(E24&gt;0,"In progress",IF(F24&gt;0,"Blocked","Not started")))</f>
        <v/>
      </c>
    </row>
    <row r="25" ht="15" customHeight="1" s="10">
      <c r="B25" s="15" t="inlineStr">
        <is>
          <t>EPIC-011 Pilot</t>
        </is>
      </c>
      <c r="C25" s="16">
        <f>COUNTIF('Track A'!B2:B200,"S11.*")</f>
        <v/>
      </c>
      <c r="D25" s="16">
        <f>COUNTIFS('Track A'!B2:B200,"S11.*",'Track A'!D2:D200,"Done")</f>
        <v/>
      </c>
      <c r="E25" s="16">
        <f>COUNTIFS('Track A'!B2:B200,"S11.*",'Track A'!D2:D200,"In progress")</f>
        <v/>
      </c>
      <c r="F25" s="16">
        <f>COUNTIFS('Track A'!B2:B200,"S11.*",'Track A'!D2:D200,"Blocked")</f>
        <v/>
      </c>
      <c r="G25" s="16">
        <f>IF(D25=C25,"✓ Done",IF(E25&gt;0,"In progress",IF(F25&gt;0,"Blocked","Not started")))</f>
        <v/>
      </c>
    </row>
    <row r="26" ht="15" customHeight="1" s="10"/>
    <row r="27" ht="15" customHeight="1" s="10"/>
    <row r="28" ht="15" customHeight="1" s="10">
      <c r="B28" s="13" t="inlineStr">
        <is>
          <t>Epics — Track B</t>
        </is>
      </c>
    </row>
    <row r="29" ht="15" customHeight="1" s="10">
      <c r="B29" s="14" t="inlineStr">
        <is>
          <t>Epic</t>
        </is>
      </c>
      <c r="C29" s="14" t="inlineStr">
        <is>
          <t>Total</t>
        </is>
      </c>
      <c r="D29" s="14" t="inlineStr">
        <is>
          <t>Done</t>
        </is>
      </c>
      <c r="E29" s="14" t="inlineStr">
        <is>
          <t>In progress</t>
        </is>
      </c>
      <c r="F29" s="14" t="inlineStr">
        <is>
          <t>Blocked</t>
        </is>
      </c>
      <c r="G29" s="14" t="inlineStr">
        <is>
          <t>Status</t>
        </is>
      </c>
    </row>
    <row r="30" ht="15" customHeight="1" s="10">
      <c r="B30" s="15" t="inlineStr">
        <is>
          <t>EPIC-002 Simulators</t>
        </is>
      </c>
      <c r="C30" s="16">
        <f>COUNTA('Track B'!E2:E200)</f>
        <v/>
      </c>
      <c r="D30" s="16">
        <f>COUNTIF('Track B'!E2:E200,"Done")</f>
        <v/>
      </c>
      <c r="E30" s="16">
        <f>COUNTIF('Track B'!E2:E200,"In progress")</f>
        <v/>
      </c>
      <c r="F30" s="16">
        <f>COUNTIF('Track B'!E2:E200,"Blocked")</f>
        <v/>
      </c>
      <c r="G30" s="16">
        <f>IF(D30=C30,"✓ Done",IF(E30&gt;0,"In progress",IF(F30&gt;0,"Blocked","Not started")))</f>
        <v/>
      </c>
    </row>
    <row r="31" ht="15" customHeight="1" s="10"/>
    <row r="32" ht="15" customHeight="1" s="10"/>
    <row r="33" ht="15" customHeight="1" s="10">
      <c r="B33" s="13" t="inlineStr">
        <is>
          <t>This Week</t>
        </is>
      </c>
    </row>
    <row r="34" ht="15" customHeight="1" s="10">
      <c r="B34" s="14" t="inlineStr">
        <is>
          <t>Week</t>
        </is>
      </c>
      <c r="C34" s="14" t="inlineStr">
        <is>
          <t>Track A focus</t>
        </is>
      </c>
      <c r="D34" s="17" t="n"/>
      <c r="E34" s="14" t="inlineStr">
        <is>
          <t>Track B focus</t>
        </is>
      </c>
      <c r="F34" s="18" t="n"/>
      <c r="G34" s="17" t="n"/>
    </row>
    <row r="35" ht="27.75" customHeight="1" s="10">
      <c r="B35" s="15" t="inlineStr">
        <is>
          <t>W1 (Jun 8-12)</t>
        </is>
      </c>
      <c r="C35" s="15" t="inlineStr">
        <is>
          <t>S1.1 monorepo, S1.2 contracts, S1.3 docker-compose</t>
        </is>
      </c>
      <c r="D35" s="17" t="n"/>
      <c r="E35" s="15" t="inlineStr">
        <is>
          <t>S2.1 fixture + S2.8 realism (Days 1-2), then S2.7 MQTT (Days 3-4)</t>
        </is>
      </c>
      <c r="F35" s="18" t="n"/>
      <c r="G35" s="17" t="n"/>
    </row>
  </sheetData>
  <mergeCells count="6">
    <mergeCell ref="B3:G3"/>
    <mergeCell ref="B2:G2"/>
    <mergeCell ref="C34:D34"/>
    <mergeCell ref="E34:G34"/>
    <mergeCell ref="E35:G35"/>
    <mergeCell ref="C35:D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14" customWidth="1" style="9" min="2" max="2"/>
    <col width="38" customWidth="1" style="9" min="3" max="4"/>
    <col width="14" customWidth="1" style="9" min="5" max="6"/>
    <col width="24" customWidth="1" style="9" min="7" max="7"/>
  </cols>
  <sheetData>
    <row r="2" ht="21.75" customHeight="1" s="10">
      <c r="B2" s="11" t="inlineStr">
        <is>
          <t>12-Week Burn-up Plan</t>
        </is>
      </c>
    </row>
    <row r="4" ht="15" customHeight="1" s="10">
      <c r="B4" s="14" t="inlineStr">
        <is>
          <t>Week</t>
        </is>
      </c>
      <c r="C4" s="14" t="inlineStr">
        <is>
          <t>Track A plan</t>
        </is>
      </c>
      <c r="D4" s="14" t="inlineStr">
        <is>
          <t>Track B plan</t>
        </is>
      </c>
      <c r="E4" s="14" t="inlineStr">
        <is>
          <t>Planned stories</t>
        </is>
      </c>
      <c r="F4" s="14" t="inlineStr">
        <is>
          <t>Actual done</t>
        </is>
      </c>
      <c r="G4" s="14" t="inlineStr">
        <is>
          <t>Notes</t>
        </is>
      </c>
    </row>
    <row r="5" ht="27.75" customHeight="1" s="10">
      <c r="B5" s="19" t="inlineStr">
        <is>
          <t>W1 (Jun 8-12)</t>
        </is>
      </c>
      <c r="C5" s="19" t="inlineStr">
        <is>
          <t>Contracts, monorepo, docker-compose, Alembic</t>
        </is>
      </c>
      <c r="D5" s="19" t="inlineStr">
        <is>
          <t>Fixture loader, MQTT sim, OPC UA sim</t>
        </is>
      </c>
      <c r="E5" s="16" t="n">
        <v>8</v>
      </c>
      <c r="F5" s="16" t="n"/>
      <c r="G5" s="19" t="n"/>
    </row>
    <row r="6" ht="15" customHeight="1" s="10">
      <c r="B6" s="19" t="inlineStr">
        <is>
          <t>W2 (Jun 15-19)</t>
        </is>
      </c>
      <c r="C6" s="19" t="inlineStr">
        <is>
          <t>MAR schemas + resolve + get + search</t>
        </is>
      </c>
      <c r="D6" s="19" t="inlineStr">
        <is>
          <t>SharePoint/S3 sim</t>
        </is>
      </c>
      <c r="E6" s="16" t="n">
        <v>8</v>
      </c>
      <c r="F6" s="16" t="n"/>
      <c r="G6" s="19" t="n"/>
    </row>
    <row r="7" ht="27.75" customHeight="1" s="10">
      <c r="B7" s="19" t="inlineStr">
        <is>
          <t>W3 (Jun 22-26)</t>
        </is>
      </c>
      <c r="C7" s="19" t="inlineStr">
        <is>
          <t>TRS schemas + resolve_tag, Templates loader</t>
        </is>
      </c>
      <c r="D7" s="19" t="inlineStr">
        <is>
          <t>PI sim</t>
        </is>
      </c>
      <c r="E7" s="16" t="n">
        <v>8</v>
      </c>
      <c r="F7" s="16" t="n"/>
      <c r="G7" s="19" t="n"/>
    </row>
    <row r="8" ht="27.75" customHeight="1" s="10">
      <c r="B8" s="19" t="inlineStr">
        <is>
          <t>W4 (Jun 29-Jul 3)</t>
        </is>
      </c>
      <c r="C8" s="19" t="inlineStr">
        <is>
          <t>connector_sdk, MCP tier registration</t>
        </is>
      </c>
      <c r="D8" s="19" t="inlineStr">
        <is>
          <t>Maximo sim, SAP sim</t>
        </is>
      </c>
      <c r="E8" s="16" t="n">
        <v>8</v>
      </c>
      <c r="F8" s="16" t="n"/>
      <c r="G8" s="19" t="n"/>
    </row>
    <row r="9" ht="15" customHeight="1" s="10">
      <c r="B9" s="19" t="inlineStr">
        <is>
          <t>W5 (Jul 6-10)</t>
        </is>
      </c>
      <c r="C9" s="19" t="inlineStr">
        <is>
          <t>PI connector vs PI sim, MCP catalog</t>
        </is>
      </c>
      <c r="D9" s="19" t="inlineStr">
        <is>
          <t>Realism harness</t>
        </is>
      </c>
      <c r="E9" s="16" t="n">
        <v>6</v>
      </c>
      <c r="F9" s="16" t="n"/>
      <c r="G9" s="19" t="n"/>
    </row>
    <row r="10" ht="15" customHeight="1" s="10">
      <c r="B10" s="19" t="inlineStr">
        <is>
          <t>W6 (Jul 13-17)</t>
        </is>
      </c>
      <c r="C10" s="19" t="inlineStr">
        <is>
          <t>Maximo connector vs Maximo sim</t>
        </is>
      </c>
      <c r="D10" s="19" t="inlineStr">
        <is>
          <t>(complete)</t>
        </is>
      </c>
      <c r="E10" s="16" t="n">
        <v>4</v>
      </c>
      <c r="F10" s="16" t="n"/>
      <c r="G10" s="19" t="n"/>
    </row>
    <row r="11" ht="15" customHeight="1" s="10">
      <c r="B11" s="19" t="inlineStr">
        <is>
          <t>W7 (Jul 20-24)</t>
        </is>
      </c>
      <c r="C11" s="19" t="inlineStr">
        <is>
          <t>SAP/Document connectors, Temporal probe</t>
        </is>
      </c>
      <c r="D11" s="19" t="inlineStr">
        <is>
          <t>—</t>
        </is>
      </c>
      <c r="E11" s="16" t="n">
        <v>6</v>
      </c>
      <c r="F11" s="16" t="n"/>
      <c r="G11" s="19" t="n"/>
    </row>
    <row r="12" ht="15" customHeight="1" s="10">
      <c r="B12" s="19" t="inlineStr">
        <is>
          <t>W8 (Jul 27-31)</t>
        </is>
      </c>
      <c r="C12" s="19" t="inlineStr">
        <is>
          <t>Tier 1-2 agents (Scope, Evidence)</t>
        </is>
      </c>
      <c r="D12" s="19" t="inlineStr">
        <is>
          <t>—</t>
        </is>
      </c>
      <c r="E12" s="16" t="n">
        <v>4</v>
      </c>
      <c r="F12" s="16" t="n"/>
      <c r="G12" s="19" t="n"/>
    </row>
    <row r="13" ht="15" customHeight="1" s="10">
      <c r="B13" s="19" t="inlineStr">
        <is>
          <t>W9 (Aug 3-7)</t>
        </is>
      </c>
      <c r="C13" s="19" t="inlineStr">
        <is>
          <t>Tier 3-4 agents (Reason, Govern) + HITL UI</t>
        </is>
      </c>
      <c r="D13" s="19" t="inlineStr">
        <is>
          <t>—</t>
        </is>
      </c>
      <c r="E13" s="16" t="n">
        <v>5</v>
      </c>
      <c r="F13" s="16" t="n"/>
      <c r="G13" s="19" t="n"/>
    </row>
    <row r="14" ht="27.75" customHeight="1" s="10">
      <c r="B14" s="19" t="inlineStr">
        <is>
          <t>W10 (Aug 10-14)</t>
        </is>
      </c>
      <c r="C14" s="19" t="inlineStr">
        <is>
          <t>Eval harness + golden set</t>
        </is>
      </c>
      <c r="D14" s="19" t="inlineStr">
        <is>
          <t>—</t>
        </is>
      </c>
      <c r="E14" s="16" t="n">
        <v>4</v>
      </c>
      <c r="F14" s="16" t="n"/>
      <c r="G14" s="19" t="n"/>
    </row>
    <row r="15" ht="27.75" customHeight="1" s="10">
      <c r="B15" s="19" t="inlineStr">
        <is>
          <t>W11 (Aug 17-21)</t>
        </is>
      </c>
      <c r="C15" s="19" t="inlineStr">
        <is>
          <t>Observability, cost dashboard</t>
        </is>
      </c>
      <c r="D15" s="19" t="inlineStr">
        <is>
          <t>—</t>
        </is>
      </c>
      <c r="E15" s="16" t="n">
        <v>3</v>
      </c>
      <c r="F15" s="16" t="n"/>
      <c r="G15" s="19" t="n"/>
    </row>
    <row r="16" ht="27.75" customHeight="1" s="10">
      <c r="B16" s="19" t="inlineStr">
        <is>
          <t>W12 (Aug 24-28)</t>
        </is>
      </c>
      <c r="C16" s="19" t="inlineStr">
        <is>
          <t>Pilot: parity tests, customer configs, runbook</t>
        </is>
      </c>
      <c r="D16" s="19" t="inlineStr">
        <is>
          <t>—</t>
        </is>
      </c>
      <c r="E16" s="16" t="n">
        <v>4</v>
      </c>
      <c r="F16" s="16" t="n"/>
      <c r="G16" s="19" t="n"/>
    </row>
  </sheetData>
  <autoFilter ref="B4:G16"/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I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10" customWidth="1" style="9" min="2" max="2"/>
    <col width="48" customWidth="1" style="9" min="3" max="3"/>
    <col width="16" customWidth="1" style="9" min="4" max="4"/>
    <col width="16" customWidth="1" style="9" min="5" max="5"/>
    <col width="10" customWidth="1" style="9" min="6" max="6"/>
    <col width="38" customWidth="1" style="9" min="7" max="7"/>
  </cols>
  <sheetData>
    <row r="1" ht="15" customHeight="1" s="10">
      <c r="B1" s="14" t="inlineStr">
        <is>
          <t>ID</t>
        </is>
      </c>
      <c r="C1" s="14" t="inlineStr">
        <is>
          <t>Story</t>
        </is>
      </c>
      <c r="D1" s="20" t="inlineStr">
        <is>
          <t>Tracker (Jun-4)</t>
        </is>
      </c>
      <c r="E1" s="20" t="inlineStr">
        <is>
          <t>Verified (Jun-9)</t>
        </is>
      </c>
      <c r="F1" s="20" t="inlineStr">
        <is>
          <t>Diff</t>
        </is>
      </c>
      <c r="G1" s="14" t="inlineStr">
        <is>
          <t>Dep</t>
        </is>
      </c>
      <c r="H1" s="14" t="inlineStr">
        <is>
          <t>Notes</t>
        </is>
      </c>
      <c r="I1" s="14" t="inlineStr">
        <is>
          <t>Docs</t>
        </is>
      </c>
    </row>
    <row r="2" ht="15" customHeight="1" s="10">
      <c r="B2" s="16" t="inlineStr">
        <is>
          <t>S1.1</t>
        </is>
      </c>
      <c r="C2" s="19" t="inlineStr">
        <is>
          <t>Monorepo setup (packages/, infra/, scripts/, tests/)</t>
        </is>
      </c>
      <c r="D2" s="21" t="inlineStr">
        <is>
          <t>Not started</t>
        </is>
      </c>
      <c r="E2" s="22" t="inlineStr">
        <is>
          <t>Done</t>
        </is>
      </c>
      <c r="F2" s="23" t="inlineStr">
        <is>
          <t>up ahead</t>
        </is>
      </c>
      <c r="G2" s="16" t="inlineStr">
        <is>
          <t>—</t>
        </is>
      </c>
      <c r="H2" s="19" t="n"/>
      <c r="I2" s="19" t="inlineStr">
        <is>
          <t>docs/foundations/EPIC-001-foundations.md</t>
        </is>
      </c>
    </row>
    <row r="3" ht="27.75" customHeight="1" s="10">
      <c r="B3" s="16" t="inlineStr">
        <is>
          <t>S1.2</t>
        </is>
      </c>
      <c r="C3" s="19" t="inlineStr">
        <is>
          <t>Pydantic v2 contracts (closes G1: AssetDescriptor, TagDescriptor, ProbeTrigger, etc.)</t>
        </is>
      </c>
      <c r="D3" s="21" t="inlineStr">
        <is>
          <t>Not started</t>
        </is>
      </c>
      <c r="E3" s="22" t="inlineStr">
        <is>
          <t>Done</t>
        </is>
      </c>
      <c r="F3" s="23" t="inlineStr">
        <is>
          <t>up ahead</t>
        </is>
      </c>
      <c r="G3" s="16" t="inlineStr">
        <is>
          <t>—</t>
        </is>
      </c>
      <c r="H3" s="19" t="inlineStr">
        <is>
          <t>SPEC-001 + SPEC-012</t>
        </is>
      </c>
      <c r="I3" s="19" t="inlineStr">
        <is>
          <t>docs/foundations/SPEC-001-evidence-bundle.md + SPEC-012</t>
        </is>
      </c>
    </row>
    <row r="4" ht="27.75" customHeight="1" s="10">
      <c r="B4" s="16" t="inlineStr">
        <is>
          <t>S1.3</t>
        </is>
      </c>
      <c r="C4" s="19" t="inlineStr">
        <is>
          <t>docker-compose dev stack (Postgres, Neo4j, Temporal, MinIO)</t>
        </is>
      </c>
      <c r="D4" s="21" t="inlineStr">
        <is>
          <t>Not started</t>
        </is>
      </c>
      <c r="E4" s="22" t="inlineStr">
        <is>
          <t>Done</t>
        </is>
      </c>
      <c r="F4" s="23" t="inlineStr">
        <is>
          <t>up ahead</t>
        </is>
      </c>
      <c r="G4" s="16" t="inlineStr">
        <is>
          <t>—</t>
        </is>
      </c>
      <c r="H4" s="19" t="n"/>
      <c r="I4" s="19" t="inlineStr">
        <is>
          <t>docs/foundations/WEEK-1-QUICKSTART.md</t>
        </is>
      </c>
    </row>
    <row r="5" ht="15" customHeight="1" s="10">
      <c r="B5" s="16" t="inlineStr">
        <is>
          <t>S1.4</t>
        </is>
      </c>
      <c r="C5" s="19" t="inlineStr">
        <is>
          <t>Alembic migrations baseline</t>
        </is>
      </c>
      <c r="D5" s="21" t="inlineStr">
        <is>
          <t>Not started</t>
        </is>
      </c>
      <c r="E5" s="22" t="inlineStr">
        <is>
          <t>Done</t>
        </is>
      </c>
      <c r="F5" s="23" t="inlineStr">
        <is>
          <t>up ahead</t>
        </is>
      </c>
      <c r="G5" s="16" t="inlineStr">
        <is>
          <t>S1.3</t>
        </is>
      </c>
      <c r="H5" s="19" t="n"/>
      <c r="I5" s="19" t="inlineStr">
        <is>
          <t>docs/foundations/EPIC-001-foundations.md</t>
        </is>
      </c>
    </row>
    <row r="6" ht="15" customHeight="1" s="10">
      <c r="B6" s="16" t="inlineStr">
        <is>
          <t>S1.5</t>
        </is>
      </c>
      <c r="C6" s="19" t="inlineStr">
        <is>
          <t>Round-trip contract test</t>
        </is>
      </c>
      <c r="D6" s="21" t="inlineStr">
        <is>
          <t>Not started</t>
        </is>
      </c>
      <c r="E6" s="22" t="inlineStr">
        <is>
          <t>Done</t>
        </is>
      </c>
      <c r="F6" s="23" t="inlineStr">
        <is>
          <t>up ahead</t>
        </is>
      </c>
      <c r="G6" s="16" t="inlineStr">
        <is>
          <t>S1.2</t>
        </is>
      </c>
      <c r="H6" s="19" t="n"/>
      <c r="I6" s="19" t="inlineStr">
        <is>
          <t>docs/foundations/SPEC-001-evidence-bundle.md</t>
        </is>
      </c>
    </row>
    <row r="7" ht="15" customHeight="1" s="10">
      <c r="B7" s="16" t="inlineStr">
        <is>
          <t>S12.1</t>
        </is>
      </c>
      <c r="C7" s="19" t="inlineStr">
        <is>
          <t>MAR schemas + Postgres tables</t>
        </is>
      </c>
      <c r="D7" s="21" t="inlineStr">
        <is>
          <t>Not started</t>
        </is>
      </c>
      <c r="E7" s="22" t="inlineStr">
        <is>
          <t>Done</t>
        </is>
      </c>
      <c r="F7" s="23" t="inlineStr">
        <is>
          <t>up ahead</t>
        </is>
      </c>
      <c r="G7" s="16" t="inlineStr">
        <is>
          <t>S1.2, S1.4</t>
        </is>
      </c>
      <c r="H7" s="19" t="n"/>
      <c r="I7" s="19" t="inlineStr">
        <is>
          <t>docs/mar/SPEC-011-master-asset-registry.md</t>
        </is>
      </c>
    </row>
    <row r="8" ht="15" customHeight="1" s="10">
      <c r="B8" s="16" t="inlineStr">
        <is>
          <t>S12.2</t>
        </is>
      </c>
      <c r="C8" s="19" t="inlineStr">
        <is>
          <t>MAR.resolve(name/site) → asset_id</t>
        </is>
      </c>
      <c r="D8" s="21" t="inlineStr">
        <is>
          <t>Not started</t>
        </is>
      </c>
      <c r="E8" s="22" t="inlineStr">
        <is>
          <t>Done</t>
        </is>
      </c>
      <c r="F8" s="23" t="inlineStr">
        <is>
          <t>up ahead</t>
        </is>
      </c>
      <c r="G8" s="16" t="inlineStr">
        <is>
          <t>S12.1</t>
        </is>
      </c>
      <c r="H8" s="19" t="n"/>
      <c r="I8" s="19" t="inlineStr">
        <is>
          <t>docs/mar/SPEC-011-master-asset-registry.md</t>
        </is>
      </c>
    </row>
    <row r="9" ht="15" customHeight="1" s="10">
      <c r="B9" s="16" t="inlineStr">
        <is>
          <t>S12.3</t>
        </is>
      </c>
      <c r="C9" s="19" t="inlineStr">
        <is>
          <t>MAR.get(asset_id) → AssetDescriptor</t>
        </is>
      </c>
      <c r="D9" s="21" t="inlineStr">
        <is>
          <t>Not started</t>
        </is>
      </c>
      <c r="E9" s="22" t="inlineStr">
        <is>
          <t>Done</t>
        </is>
      </c>
      <c r="F9" s="23" t="inlineStr">
        <is>
          <t>up ahead</t>
        </is>
      </c>
      <c r="G9" s="16" t="inlineStr">
        <is>
          <t>S12.1</t>
        </is>
      </c>
      <c r="H9" s="19" t="n"/>
      <c r="I9" s="19" t="inlineStr">
        <is>
          <t>docs/mar/SPEC-011-master-asset-registry.md</t>
        </is>
      </c>
    </row>
    <row r="10" ht="15" customHeight="1" s="10">
      <c r="B10" s="16" t="inlineStr">
        <is>
          <t>S12.4</t>
        </is>
      </c>
      <c r="C10" s="19" t="inlineStr">
        <is>
          <t>MAR.search + hierarchy traversal</t>
        </is>
      </c>
      <c r="D10" s="21" t="inlineStr">
        <is>
          <t>Not started</t>
        </is>
      </c>
      <c r="E10" s="22" t="inlineStr">
        <is>
          <t>Done</t>
        </is>
      </c>
      <c r="F10" s="23" t="inlineStr">
        <is>
          <t>up ahead</t>
        </is>
      </c>
      <c r="G10" s="16" t="inlineStr">
        <is>
          <t>S12.1</t>
        </is>
      </c>
      <c r="H10" s="19" t="n"/>
      <c r="I10" s="19" t="inlineStr">
        <is>
          <t>docs/mar/SPEC-011-master-asset-registry.md</t>
        </is>
      </c>
    </row>
    <row r="11" ht="15" customHeight="1" s="10">
      <c r="B11" s="16" t="inlineStr">
        <is>
          <t>S12.5</t>
        </is>
      </c>
      <c r="C11" s="19" t="inlineStr">
        <is>
          <t>MAR ↔ PI AF source adapter</t>
        </is>
      </c>
      <c r="D11" s="21" t="inlineStr">
        <is>
          <t>Not started</t>
        </is>
      </c>
      <c r="E11" s="21" t="inlineStr">
        <is>
          <t>Not started</t>
        </is>
      </c>
      <c r="F11" s="24" t="inlineStr">
        <is>
          <t>=</t>
        </is>
      </c>
      <c r="G11" s="16" t="inlineStr">
        <is>
          <t>S13.2</t>
        </is>
      </c>
      <c r="H11" s="19" t="inlineStr">
        <is>
          <t>Sim-backed first</t>
        </is>
      </c>
      <c r="I11" s="19" t="inlineStr">
        <is>
          <t>docs/mar/EPIC-012-master-asset-registry.md</t>
        </is>
      </c>
    </row>
    <row r="12" ht="15" customHeight="1" s="10">
      <c r="B12" s="16" t="inlineStr">
        <is>
          <t>S12.6</t>
        </is>
      </c>
      <c r="C12" s="19" t="inlineStr">
        <is>
          <t>MAR ↔ Maximo source adapter</t>
        </is>
      </c>
      <c r="D12" s="21" t="inlineStr">
        <is>
          <t>Not started</t>
        </is>
      </c>
      <c r="E12" s="21" t="inlineStr">
        <is>
          <t>Not started</t>
        </is>
      </c>
      <c r="F12" s="24" t="inlineStr">
        <is>
          <t>=</t>
        </is>
      </c>
      <c r="G12" s="16" t="inlineStr">
        <is>
          <t>S13.3</t>
        </is>
      </c>
      <c r="H12" s="19" t="inlineStr">
        <is>
          <t>Sim-backed first</t>
        </is>
      </c>
      <c r="I12" s="19" t="inlineStr">
        <is>
          <t>docs/mar/EPIC-012-master-asset-registry.md</t>
        </is>
      </c>
    </row>
    <row r="13" ht="15" customHeight="1" s="10">
      <c r="B13" s="16" t="inlineStr">
        <is>
          <t>S12.7</t>
        </is>
      </c>
      <c r="C13" s="19" t="inlineStr">
        <is>
          <t>MAR ↔ Spreadsheet bootstrap</t>
        </is>
      </c>
      <c r="D13" s="21" t="inlineStr">
        <is>
          <t>Not started</t>
        </is>
      </c>
      <c r="E13" s="21" t="inlineStr">
        <is>
          <t>Not started</t>
        </is>
      </c>
      <c r="F13" s="24" t="inlineStr">
        <is>
          <t>=</t>
        </is>
      </c>
      <c r="G13" s="16" t="inlineStr">
        <is>
          <t>S13.6</t>
        </is>
      </c>
      <c r="H13" s="19" t="n"/>
      <c r="I13" s="19" t="inlineStr">
        <is>
          <t>docs/mar/EPIC-012-master-asset-registry.md</t>
        </is>
      </c>
    </row>
    <row r="14" ht="15" customHeight="1" s="10">
      <c r="B14" s="16" t="inlineStr">
        <is>
          <t>S12.8</t>
        </is>
      </c>
      <c r="C14" s="19" t="inlineStr">
        <is>
          <t>MAR ↔ SAP PM adapter</t>
        </is>
      </c>
      <c r="D14" s="21" t="inlineStr">
        <is>
          <t>Not started</t>
        </is>
      </c>
      <c r="E14" s="21" t="inlineStr">
        <is>
          <t>Not started</t>
        </is>
      </c>
      <c r="F14" s="24" t="inlineStr">
        <is>
          <t>=</t>
        </is>
      </c>
      <c r="G14" s="16" t="inlineStr">
        <is>
          <t>S13.4</t>
        </is>
      </c>
      <c r="H14" s="19" t="inlineStr">
        <is>
          <t>Sim-backed first</t>
        </is>
      </c>
      <c r="I14" s="19" t="inlineStr">
        <is>
          <t>docs/mar/EPIC-012-master-asset-registry.md</t>
        </is>
      </c>
    </row>
    <row r="15" ht="15" customHeight="1" s="10">
      <c r="B15" s="16" t="inlineStr">
        <is>
          <t>S3.1</t>
        </is>
      </c>
      <c r="C15" s="19" t="inlineStr">
        <is>
          <t>TRS schemas + Postgres tables</t>
        </is>
      </c>
      <c r="D15" s="21" t="inlineStr">
        <is>
          <t>Not started</t>
        </is>
      </c>
      <c r="E15" s="22" t="inlineStr">
        <is>
          <t>Done</t>
        </is>
      </c>
      <c r="F15" s="23" t="inlineStr">
        <is>
          <t>up ahead</t>
        </is>
      </c>
      <c r="G15" s="16" t="inlineStr">
        <is>
          <t>S1.2, S1.4</t>
        </is>
      </c>
      <c r="H15" s="19" t="n"/>
      <c r="I15" s="19" t="inlineStr">
        <is>
          <t>docs/trs/SPEC-003-tag-resolution-service.md</t>
        </is>
      </c>
    </row>
    <row r="16" ht="15" customHeight="1" s="10">
      <c r="B16" s="16" t="inlineStr">
        <is>
          <t>S3.2</t>
        </is>
      </c>
      <c r="C16" s="19" t="inlineStr">
        <is>
          <t>TRS.resolve_tag(tag) → tag_id + meta</t>
        </is>
      </c>
      <c r="D16" s="21" t="inlineStr">
        <is>
          <t>Not started</t>
        </is>
      </c>
      <c r="E16" s="22" t="inlineStr">
        <is>
          <t>Done</t>
        </is>
      </c>
      <c r="F16" s="23" t="inlineStr">
        <is>
          <t>up ahead</t>
        </is>
      </c>
      <c r="G16" s="16" t="inlineStr">
        <is>
          <t>S3.1</t>
        </is>
      </c>
      <c r="H16" s="19" t="n"/>
      <c r="I16" s="19" t="inlineStr">
        <is>
          <t>docs/trs/SPEC-003-tag-resolution-service.md</t>
        </is>
      </c>
    </row>
    <row r="17" ht="15" customHeight="1" s="10">
      <c r="B17" s="16" t="inlineStr">
        <is>
          <t>S3.3</t>
        </is>
      </c>
      <c r="C17" s="19" t="inlineStr">
        <is>
          <t>TRS.search + TRS.get</t>
        </is>
      </c>
      <c r="D17" s="21" t="inlineStr">
        <is>
          <t>Not started</t>
        </is>
      </c>
      <c r="E17" s="22" t="inlineStr">
        <is>
          <t>Done</t>
        </is>
      </c>
      <c r="F17" s="23" t="inlineStr">
        <is>
          <t>up ahead</t>
        </is>
      </c>
      <c r="G17" s="16" t="inlineStr">
        <is>
          <t>S3.1</t>
        </is>
      </c>
      <c r="H17" s="19" t="n"/>
      <c r="I17" s="19" t="inlineStr">
        <is>
          <t>docs/trs/SPEC-003-tag-resolution-service.md</t>
        </is>
      </c>
    </row>
    <row r="18" ht="15" customHeight="1" s="10">
      <c r="B18" s="16" t="inlineStr">
        <is>
          <t>S3.4</t>
        </is>
      </c>
      <c r="C18" s="19" t="inlineStr">
        <is>
          <t>UNS BIRTH/DEATH consumer → TRS upserts</t>
        </is>
      </c>
      <c r="D18" s="21" t="inlineStr">
        <is>
          <t>Not started</t>
        </is>
      </c>
      <c r="E18" s="21" t="inlineStr">
        <is>
          <t>Not started</t>
        </is>
      </c>
      <c r="F18" s="24" t="inlineStr">
        <is>
          <t>=</t>
        </is>
      </c>
      <c r="G18" s="16" t="inlineStr">
        <is>
          <t>S3.1, S13.7</t>
        </is>
      </c>
      <c r="H18" s="19" t="n"/>
      <c r="I18" s="19" t="inlineStr">
        <is>
          <t>docs/trs/EPIC-003-trs.md</t>
        </is>
      </c>
    </row>
    <row r="19" ht="15" customHeight="1" s="10">
      <c r="B19" s="16" t="inlineStr">
        <is>
          <t>S3.5</t>
        </is>
      </c>
      <c r="C19" s="19" t="inlineStr">
        <is>
          <t>PI AF tag enumeration → TRS</t>
        </is>
      </c>
      <c r="D19" s="21" t="inlineStr">
        <is>
          <t>Not started</t>
        </is>
      </c>
      <c r="E19" s="21" t="inlineStr">
        <is>
          <t>Not started</t>
        </is>
      </c>
      <c r="F19" s="24" t="inlineStr">
        <is>
          <t>=</t>
        </is>
      </c>
      <c r="G19" s="16" t="inlineStr">
        <is>
          <t>S13.2</t>
        </is>
      </c>
      <c r="H19" s="19" t="inlineStr">
        <is>
          <t>Sim-backed first</t>
        </is>
      </c>
      <c r="I19" s="19" t="inlineStr">
        <is>
          <t>docs/trs/EPIC-003-trs.md</t>
        </is>
      </c>
    </row>
    <row r="20" ht="15" customHeight="1" s="10">
      <c r="B20" s="16" t="inlineStr">
        <is>
          <t>S3.6</t>
        </is>
      </c>
      <c r="C20" s="19" t="inlineStr">
        <is>
          <t>Unresolved-tag queue + HITL hook</t>
        </is>
      </c>
      <c r="D20" s="21" t="inlineStr">
        <is>
          <t>Not started</t>
        </is>
      </c>
      <c r="E20" s="21" t="inlineStr">
        <is>
          <t>Not started</t>
        </is>
      </c>
      <c r="F20" s="24" t="inlineStr">
        <is>
          <t>=</t>
        </is>
      </c>
      <c r="G20" s="16" t="inlineStr">
        <is>
          <t>S3.2</t>
        </is>
      </c>
      <c r="H20" s="19" t="n"/>
      <c r="I20" s="19" t="inlineStr">
        <is>
          <t>docs/trs/EPIC-003-trs.md</t>
        </is>
      </c>
    </row>
    <row r="21" ht="15" customHeight="1" s="10">
      <c r="B21" s="16" t="inlineStr">
        <is>
          <t>S4.1</t>
        </is>
      </c>
      <c r="C21" s="19" t="inlineStr">
        <is>
          <t>Template loader + validator</t>
        </is>
      </c>
      <c r="D21" s="21" t="inlineStr">
        <is>
          <t>Not started</t>
        </is>
      </c>
      <c r="E21" s="21" t="inlineStr">
        <is>
          <t>Not started</t>
        </is>
      </c>
      <c r="F21" s="24" t="inlineStr">
        <is>
          <t>=</t>
        </is>
      </c>
      <c r="G21" s="16" t="inlineStr">
        <is>
          <t>S1.2</t>
        </is>
      </c>
      <c r="H21" s="19" t="inlineStr">
        <is>
          <t>SPEC-015</t>
        </is>
      </c>
      <c r="I21" s="19" t="inlineStr">
        <is>
          <t>docs/templates/SPEC-015-equipment-template-schema.md</t>
        </is>
      </c>
    </row>
    <row r="22" ht="15" customHeight="1" s="10">
      <c r="B22" s="16" t="inlineStr">
        <is>
          <t>S4.2</t>
        </is>
      </c>
      <c r="C22" s="19" t="inlineStr">
        <is>
          <t>Centrifugal pump template v0.3.1</t>
        </is>
      </c>
      <c r="D22" s="21" t="inlineStr">
        <is>
          <t>Not started</t>
        </is>
      </c>
      <c r="E22" s="21" t="inlineStr">
        <is>
          <t>Not started</t>
        </is>
      </c>
      <c r="F22" s="24" t="inlineStr">
        <is>
          <t>=</t>
        </is>
      </c>
      <c r="G22" s="16" t="inlineStr">
        <is>
          <t>S4.1</t>
        </is>
      </c>
      <c r="H22" s="19" t="inlineStr">
        <is>
          <t>From rca_pump_ref_bundle</t>
        </is>
      </c>
      <c r="I22" s="19" t="inlineStr">
        <is>
          <t>docs/templates/SPEC-015-equipment-template-schema.md</t>
        </is>
      </c>
    </row>
    <row r="23" ht="15" customHeight="1" s="10">
      <c r="B23" s="16" t="inlineStr">
        <is>
          <t>S4.3</t>
        </is>
      </c>
      <c r="C23" s="19" t="inlineStr">
        <is>
          <t>MCP tools: template.get / list / validate</t>
        </is>
      </c>
      <c r="D23" s="21" t="inlineStr">
        <is>
          <t>Not started</t>
        </is>
      </c>
      <c r="E23" s="21" t="inlineStr">
        <is>
          <t>Not started</t>
        </is>
      </c>
      <c r="F23" s="24" t="inlineStr">
        <is>
          <t>=</t>
        </is>
      </c>
      <c r="G23" s="16" t="inlineStr">
        <is>
          <t>S4.1, S5.1</t>
        </is>
      </c>
      <c r="H23" s="19" t="n"/>
      <c r="I23" s="19" t="inlineStr">
        <is>
          <t>docs/templates/EPIC-004-templates.md</t>
        </is>
      </c>
    </row>
    <row r="24" ht="15" customHeight="1" s="10">
      <c r="B24" s="16" t="inlineStr">
        <is>
          <t>S4.4</t>
        </is>
      </c>
      <c r="C24" s="19" t="inlineStr">
        <is>
          <t>Overlay enforcement (customer overrides base)</t>
        </is>
      </c>
      <c r="D24" s="21" t="inlineStr">
        <is>
          <t>Not started</t>
        </is>
      </c>
      <c r="E24" s="21" t="inlineStr">
        <is>
          <t>Not started</t>
        </is>
      </c>
      <c r="F24" s="24" t="inlineStr">
        <is>
          <t>=</t>
        </is>
      </c>
      <c r="G24" s="16" t="inlineStr">
        <is>
          <t>S4.1</t>
        </is>
      </c>
      <c r="H24" s="19" t="n"/>
      <c r="I24" s="19" t="inlineStr">
        <is>
          <t>docs/templates/SPEC-010-overlay-learning.md</t>
        </is>
      </c>
    </row>
    <row r="25" ht="27.75" customHeight="1" s="10">
      <c r="B25" s="16" t="inlineStr">
        <is>
          <t>S13.1</t>
        </is>
      </c>
      <c r="C25" s="19" t="inlineStr">
        <is>
          <t>connector_sdk: BaseConnector ABC + lifecycle (UNBLOCKS ALL OTHERS)</t>
        </is>
      </c>
      <c r="D25" s="21" t="inlineStr">
        <is>
          <t>Not started</t>
        </is>
      </c>
      <c r="E25" s="22" t="inlineStr">
        <is>
          <t>Done</t>
        </is>
      </c>
      <c r="F25" s="23" t="inlineStr">
        <is>
          <t>up ahead</t>
        </is>
      </c>
      <c r="G25" s="16" t="inlineStr">
        <is>
          <t>S1.2</t>
        </is>
      </c>
      <c r="H25" s="19" t="inlineStr">
        <is>
          <t>ADR-0012</t>
        </is>
      </c>
      <c r="I25" s="19" t="inlineStr">
        <is>
          <t>docs/connectors/EPIC-013-connectors.md + SPEC-002</t>
        </is>
      </c>
    </row>
    <row r="26" ht="15" customHeight="1" s="10">
      <c r="B26" s="16" t="inlineStr">
        <is>
          <t>S13.2</t>
        </is>
      </c>
      <c r="C26" s="19" t="inlineStr">
        <is>
          <t>PI connector (Web API + AF)</t>
        </is>
      </c>
      <c r="D26" s="21" t="inlineStr">
        <is>
          <t>Not started</t>
        </is>
      </c>
      <c r="E26" s="22" t="inlineStr">
        <is>
          <t>Done</t>
        </is>
      </c>
      <c r="F26" s="23" t="inlineStr">
        <is>
          <t>up ahead</t>
        </is>
      </c>
      <c r="G26" s="16" t="inlineStr">
        <is>
          <t>S13.1, S2.2</t>
        </is>
      </c>
      <c r="H26" s="19" t="n"/>
      <c r="I26" s="19" t="inlineStr">
        <is>
          <t>docs/connectors/EPIC-013-connectors.md</t>
        </is>
      </c>
    </row>
    <row r="27" ht="15" customHeight="1" s="10">
      <c r="B27" s="16" t="inlineStr">
        <is>
          <t>S13.3</t>
        </is>
      </c>
      <c r="C27" s="19" t="inlineStr">
        <is>
          <t>Maximo connector (REST)</t>
        </is>
      </c>
      <c r="D27" s="21" t="inlineStr">
        <is>
          <t>Not started</t>
        </is>
      </c>
      <c r="E27" s="22" t="inlineStr">
        <is>
          <t>Done</t>
        </is>
      </c>
      <c r="F27" s="23" t="inlineStr">
        <is>
          <t>up ahead</t>
        </is>
      </c>
      <c r="G27" s="16" t="inlineStr">
        <is>
          <t>S13.1, S2.3</t>
        </is>
      </c>
      <c r="H27" s="19" t="n"/>
      <c r="I27" s="19" t="inlineStr">
        <is>
          <t>docs/connectors/EPIC-013-connectors.md</t>
        </is>
      </c>
    </row>
    <row r="28" ht="15" customHeight="1" s="10">
      <c r="B28" s="16" t="inlineStr">
        <is>
          <t>S13.4</t>
        </is>
      </c>
      <c r="C28" s="19" t="inlineStr">
        <is>
          <t>SAP PM connector (OData)</t>
        </is>
      </c>
      <c r="D28" s="21" t="inlineStr">
        <is>
          <t>Not started</t>
        </is>
      </c>
      <c r="E28" s="22" t="inlineStr">
        <is>
          <t>Done</t>
        </is>
      </c>
      <c r="F28" s="23" t="inlineStr">
        <is>
          <t>up ahead</t>
        </is>
      </c>
      <c r="G28" s="16" t="inlineStr">
        <is>
          <t>S13.1, S2.4</t>
        </is>
      </c>
      <c r="H28" s="19" t="n"/>
      <c r="I28" s="19" t="inlineStr">
        <is>
          <t>docs/connectors/EPIC-013-connectors.md</t>
        </is>
      </c>
    </row>
    <row r="29" ht="15" customHeight="1" s="10">
      <c r="B29" s="16" t="inlineStr">
        <is>
          <t>S13.5</t>
        </is>
      </c>
      <c r="C29" s="19" t="inlineStr">
        <is>
          <t>OPC UA connector</t>
        </is>
      </c>
      <c r="D29" s="21" t="inlineStr">
        <is>
          <t>Not started</t>
        </is>
      </c>
      <c r="E29" s="22" t="inlineStr">
        <is>
          <t>Done</t>
        </is>
      </c>
      <c r="F29" s="23" t="inlineStr">
        <is>
          <t>up ahead</t>
        </is>
      </c>
      <c r="G29" s="16" t="inlineStr">
        <is>
          <t>S13.1, S2.5</t>
        </is>
      </c>
      <c r="H29" s="19" t="n"/>
      <c r="I29" s="19" t="inlineStr">
        <is>
          <t>docs/connectors/EPIC-013-connectors.md</t>
        </is>
      </c>
    </row>
    <row r="30" ht="15" customHeight="1" s="10">
      <c r="B30" s="16" t="inlineStr">
        <is>
          <t>S13.6</t>
        </is>
      </c>
      <c r="C30" s="19" t="inlineStr">
        <is>
          <t>Document connector (SharePoint/S3)</t>
        </is>
      </c>
      <c r="D30" s="21" t="inlineStr">
        <is>
          <t>Not started</t>
        </is>
      </c>
      <c r="E30" s="22" t="inlineStr">
        <is>
          <t>Done</t>
        </is>
      </c>
      <c r="F30" s="23" t="inlineStr">
        <is>
          <t>up ahead</t>
        </is>
      </c>
      <c r="G30" s="16" t="inlineStr">
        <is>
          <t>S13.1, S2.6</t>
        </is>
      </c>
      <c r="H30" s="19" t="n"/>
      <c r="I30" s="19" t="inlineStr">
        <is>
          <t>docs/connectors/EPIC-013-connectors.md</t>
        </is>
      </c>
    </row>
    <row r="31" ht="15" customHeight="1" s="10">
      <c r="B31" s="16" t="inlineStr">
        <is>
          <t>S13.7</t>
        </is>
      </c>
      <c r="C31" s="19" t="inlineStr">
        <is>
          <t>MQTT/UNS connector</t>
        </is>
      </c>
      <c r="D31" s="21" t="inlineStr">
        <is>
          <t>Not started</t>
        </is>
      </c>
      <c r="E31" s="22" t="inlineStr">
        <is>
          <t>Done</t>
        </is>
      </c>
      <c r="F31" s="23" t="inlineStr">
        <is>
          <t>up ahead</t>
        </is>
      </c>
      <c r="G31" s="16" t="inlineStr">
        <is>
          <t>S13.1, S2.7</t>
        </is>
      </c>
      <c r="H31" s="19" t="n"/>
      <c r="I31" s="19" t="inlineStr">
        <is>
          <t>docs/connectors/EPIC-013-connectors.md</t>
        </is>
      </c>
    </row>
    <row r="32" ht="15" customHeight="1" s="10">
      <c r="B32" s="16" t="inlineStr">
        <is>
          <t>S13.8</t>
        </is>
      </c>
      <c r="C32" s="19" t="inlineStr">
        <is>
          <t>Contract tests: connector ↔ simulator parity</t>
        </is>
      </c>
      <c r="D32" s="21" t="inlineStr">
        <is>
          <t>Not started</t>
        </is>
      </c>
      <c r="E32" s="22" t="inlineStr">
        <is>
          <t>Done</t>
        </is>
      </c>
      <c r="F32" s="23" t="inlineStr">
        <is>
          <t>up ahead</t>
        </is>
      </c>
      <c r="G32" s="16" t="inlineStr">
        <is>
          <t>S13.2-S13.7</t>
        </is>
      </c>
      <c r="H32" s="19" t="n"/>
      <c r="I32" s="19" t="inlineStr">
        <is>
          <t>docs/connectors/EPIC-013-connectors.md</t>
        </is>
      </c>
    </row>
    <row r="33" ht="15" customHeight="1" s="10">
      <c r="B33" s="16" t="inlineStr">
        <is>
          <t>S13.9</t>
        </is>
      </c>
      <c r="C33" s="19" t="inlineStr">
        <is>
          <t>Credential broker integration</t>
        </is>
      </c>
      <c r="D33" s="21" t="inlineStr">
        <is>
          <t>Not started</t>
        </is>
      </c>
      <c r="E33" s="25" t="inlineStr">
        <is>
          <t>In progress</t>
        </is>
      </c>
      <c r="F33" s="23" t="inlineStr">
        <is>
          <t>up ahead</t>
        </is>
      </c>
      <c r="G33" s="16" t="inlineStr">
        <is>
          <t>S13.1</t>
        </is>
      </c>
      <c r="H33" s="19" t="n"/>
      <c r="I33" s="19" t="inlineStr">
        <is>
          <t>docs/connectors/SPEC-002-mcp-tool-contracts.md</t>
        </is>
      </c>
    </row>
    <row r="34" ht="15" customHeight="1" s="10">
      <c r="B34" s="16" t="inlineStr">
        <is>
          <t>S5.1</t>
        </is>
      </c>
      <c r="C34" s="19" t="inlineStr">
        <is>
          <t>MCP tier registration + auth</t>
        </is>
      </c>
      <c r="D34" s="21" t="inlineStr">
        <is>
          <t>Not started</t>
        </is>
      </c>
      <c r="E34" s="21" t="inlineStr">
        <is>
          <t>Not started</t>
        </is>
      </c>
      <c r="F34" s="26" t="inlineStr">
        <is>
          <t>Deferred</t>
        </is>
      </c>
      <c r="G34" s="24" t="inlineStr">
        <is>
          <t>—</t>
        </is>
      </c>
      <c r="H34" s="19" t="n"/>
      <c r="I34" s="19" t="inlineStr">
        <is>
          <t>docs/mcp/EPIC-005-mcp-servers.md</t>
        </is>
      </c>
    </row>
    <row r="35" ht="15" customHeight="1" s="10">
      <c r="B35" s="16" t="inlineStr">
        <is>
          <t>S5.2</t>
        </is>
      </c>
      <c r="C35" s="19" t="inlineStr">
        <is>
          <t>MCP catalog per tier (Tier 1-4)</t>
        </is>
      </c>
      <c r="D35" s="21" t="inlineStr">
        <is>
          <t>Not started</t>
        </is>
      </c>
      <c r="E35" s="21" t="inlineStr">
        <is>
          <t>Not started</t>
        </is>
      </c>
      <c r="F35" s="26" t="inlineStr">
        <is>
          <t>Deferred</t>
        </is>
      </c>
      <c r="G35" s="24" t="inlineStr">
        <is>
          <t>—</t>
        </is>
      </c>
      <c r="H35" s="19" t="n"/>
      <c r="I35" s="19" t="inlineStr">
        <is>
          <t>docs/mcp/EPIC-005-mcp-servers.md</t>
        </is>
      </c>
    </row>
    <row r="36" ht="15" customHeight="1" s="10">
      <c r="B36" s="16" t="inlineStr">
        <is>
          <t>S5.3</t>
        </is>
      </c>
      <c r="C36" s="19" t="inlineStr">
        <is>
          <t>Rate limit + budget guard</t>
        </is>
      </c>
      <c r="D36" s="21" t="inlineStr">
        <is>
          <t>Not started</t>
        </is>
      </c>
      <c r="E36" s="21" t="inlineStr">
        <is>
          <t>Not started</t>
        </is>
      </c>
      <c r="F36" s="26" t="inlineStr">
        <is>
          <t>Deferred</t>
        </is>
      </c>
      <c r="G36" s="24" t="inlineStr">
        <is>
          <t>—</t>
        </is>
      </c>
      <c r="H36" s="19" t="n"/>
      <c r="I36" s="19" t="inlineStr">
        <is>
          <t>docs/mcp/EPIC-005-mcp-servers.md</t>
        </is>
      </c>
    </row>
    <row r="37" ht="15" customHeight="1" s="10">
      <c r="B37" s="16" t="inlineStr">
        <is>
          <t>S6.1</t>
        </is>
      </c>
      <c r="C37" s="19" t="inlineStr">
        <is>
          <t>Probe workflow skeleton</t>
        </is>
      </c>
      <c r="D37" s="21" t="inlineStr">
        <is>
          <t>Not started</t>
        </is>
      </c>
      <c r="E37" s="21" t="inlineStr">
        <is>
          <t>Not started</t>
        </is>
      </c>
      <c r="F37" s="24" t="inlineStr">
        <is>
          <t>=</t>
        </is>
      </c>
      <c r="G37" s="16" t="inlineStr">
        <is>
          <t>S1.2</t>
        </is>
      </c>
      <c r="H37" s="19" t="n"/>
      <c r="I37" s="19" t="inlineStr">
        <is>
          <t>docs/temporal/SPEC-004-probe-workflow.md</t>
        </is>
      </c>
    </row>
    <row r="38" ht="15" customHeight="1" s="10">
      <c r="B38" s="16" t="inlineStr">
        <is>
          <t>S6.2</t>
        </is>
      </c>
      <c r="C38" s="19" t="inlineStr">
        <is>
          <t>Probe trigger ingestion + dedup</t>
        </is>
      </c>
      <c r="D38" s="21" t="inlineStr">
        <is>
          <t>Not started</t>
        </is>
      </c>
      <c r="E38" s="21" t="inlineStr">
        <is>
          <t>Not started</t>
        </is>
      </c>
      <c r="F38" s="24" t="inlineStr">
        <is>
          <t>=</t>
        </is>
      </c>
      <c r="G38" s="16" t="inlineStr">
        <is>
          <t>S6.1</t>
        </is>
      </c>
      <c r="H38" s="19" t="inlineStr">
        <is>
          <t>SPEC-012</t>
        </is>
      </c>
      <c r="I38" s="19" t="inlineStr">
        <is>
          <t>docs/temporal/SPEC-012-probe-trigger-schema.md</t>
        </is>
      </c>
    </row>
    <row r="39" ht="15" customHeight="1" s="10">
      <c r="B39" s="16" t="inlineStr">
        <is>
          <t>S6.3</t>
        </is>
      </c>
      <c r="C39" s="19" t="inlineStr">
        <is>
          <t>HITL signals (approve/reject/escalate)</t>
        </is>
      </c>
      <c r="D39" s="21" t="inlineStr">
        <is>
          <t>Not started</t>
        </is>
      </c>
      <c r="E39" s="21" t="inlineStr">
        <is>
          <t>Not started</t>
        </is>
      </c>
      <c r="F39" s="24" t="inlineStr">
        <is>
          <t>=</t>
        </is>
      </c>
      <c r="G39" s="16" t="inlineStr">
        <is>
          <t>S6.1</t>
        </is>
      </c>
      <c r="H39" s="19" t="n"/>
      <c r="I39" s="19" t="inlineStr">
        <is>
          <t>docs/hitl/SPEC-005-hitl-gates.md</t>
        </is>
      </c>
    </row>
    <row r="40" ht="15" customHeight="1" s="10">
      <c r="B40" s="16" t="inlineStr">
        <is>
          <t>S6.4</t>
        </is>
      </c>
      <c r="C40" s="19" t="inlineStr">
        <is>
          <t>Tenant onboarding workflow</t>
        </is>
      </c>
      <c r="D40" s="21" t="inlineStr">
        <is>
          <t>Not started</t>
        </is>
      </c>
      <c r="E40" s="21" t="inlineStr">
        <is>
          <t>Not started</t>
        </is>
      </c>
      <c r="F40" s="24" t="inlineStr">
        <is>
          <t>=</t>
        </is>
      </c>
      <c r="G40" s="16" t="inlineStr">
        <is>
          <t>S6.1</t>
        </is>
      </c>
      <c r="H40" s="19" t="inlineStr">
        <is>
          <t>SPEC-013</t>
        </is>
      </c>
      <c r="I40" s="19" t="inlineStr">
        <is>
          <t>docs/foundations/SPEC-013-tenant-onboarding.md</t>
        </is>
      </c>
    </row>
    <row r="41" ht="15" customHeight="1" s="10">
      <c r="B41" s="16" t="inlineStr">
        <is>
          <t>S6.5</t>
        </is>
      </c>
      <c r="C41" s="19" t="inlineStr">
        <is>
          <t>Retry/timeout/SLA policies</t>
        </is>
      </c>
      <c r="D41" s="21" t="inlineStr">
        <is>
          <t>Not started</t>
        </is>
      </c>
      <c r="E41" s="21" t="inlineStr">
        <is>
          <t>Not started</t>
        </is>
      </c>
      <c r="F41" s="24" t="inlineStr">
        <is>
          <t>=</t>
        </is>
      </c>
      <c r="G41" s="16" t="inlineStr">
        <is>
          <t>S6.1</t>
        </is>
      </c>
      <c r="H41" s="19" t="n"/>
      <c r="I41" s="19" t="inlineStr">
        <is>
          <t>docs/temporal/SPEC-004-probe-workflow.md</t>
        </is>
      </c>
    </row>
    <row r="42" ht="15" customHeight="1" s="10">
      <c r="B42" s="16" t="inlineStr">
        <is>
          <t>S7.1</t>
        </is>
      </c>
      <c r="C42" s="19" t="inlineStr">
        <is>
          <t>Tier 1 Scope agent (LangGraph)</t>
        </is>
      </c>
      <c r="D42" s="21" t="inlineStr">
        <is>
          <t>Not started</t>
        </is>
      </c>
      <c r="E42" s="21" t="inlineStr">
        <is>
          <t>Not started</t>
        </is>
      </c>
      <c r="F42" s="24" t="inlineStr">
        <is>
          <t>=</t>
        </is>
      </c>
      <c r="G42" s="16" t="inlineStr">
        <is>
          <t>S5.2</t>
        </is>
      </c>
      <c r="H42" s="19" t="n"/>
      <c r="I42" s="19" t="inlineStr">
        <is>
          <t>docs/agents/SPEC-006-agent-tier-graphs.md</t>
        </is>
      </c>
    </row>
    <row r="43" ht="15" customHeight="1" s="10">
      <c r="B43" s="16" t="inlineStr">
        <is>
          <t>S7.2</t>
        </is>
      </c>
      <c r="C43" s="19" t="inlineStr">
        <is>
          <t>Tier 2 Evidence agent</t>
        </is>
      </c>
      <c r="D43" s="21" t="inlineStr">
        <is>
          <t>Not started</t>
        </is>
      </c>
      <c r="E43" s="21" t="inlineStr">
        <is>
          <t>Not started</t>
        </is>
      </c>
      <c r="F43" s="24" t="inlineStr">
        <is>
          <t>=</t>
        </is>
      </c>
      <c r="G43" s="16" t="inlineStr">
        <is>
          <t>S5.2</t>
        </is>
      </c>
      <c r="H43" s="19" t="n"/>
      <c r="I43" s="19" t="inlineStr">
        <is>
          <t>docs/agents/SPEC-006-agent-tier-graphs.md</t>
        </is>
      </c>
    </row>
    <row r="44" ht="15" customHeight="1" s="10">
      <c r="B44" s="16" t="inlineStr">
        <is>
          <t>S7.3</t>
        </is>
      </c>
      <c r="C44" s="19" t="inlineStr">
        <is>
          <t>Tier 3 Reason agent</t>
        </is>
      </c>
      <c r="D44" s="21" t="inlineStr">
        <is>
          <t>Not started</t>
        </is>
      </c>
      <c r="E44" s="21" t="inlineStr">
        <is>
          <t>Not started</t>
        </is>
      </c>
      <c r="F44" s="24" t="inlineStr">
        <is>
          <t>=</t>
        </is>
      </c>
      <c r="G44" s="16" t="inlineStr">
        <is>
          <t>S7.2</t>
        </is>
      </c>
      <c r="H44" s="19" t="n"/>
      <c r="I44" s="19" t="inlineStr">
        <is>
          <t>docs/agents/SPEC-006-agent-tier-graphs.md</t>
        </is>
      </c>
    </row>
    <row r="45" ht="15" customHeight="1" s="10">
      <c r="B45" s="16" t="inlineStr">
        <is>
          <t>S7.4</t>
        </is>
      </c>
      <c r="C45" s="19" t="inlineStr">
        <is>
          <t>Tier 4 Govern agent</t>
        </is>
      </c>
      <c r="D45" s="21" t="inlineStr">
        <is>
          <t>Not started</t>
        </is>
      </c>
      <c r="E45" s="21" t="inlineStr">
        <is>
          <t>Not started</t>
        </is>
      </c>
      <c r="F45" s="24" t="inlineStr">
        <is>
          <t>=</t>
        </is>
      </c>
      <c r="G45" s="16" t="inlineStr">
        <is>
          <t>S7.3, S6.3</t>
        </is>
      </c>
      <c r="H45" s="19" t="n"/>
      <c r="I45" s="19" t="inlineStr">
        <is>
          <t>docs/agents/SPEC-006-agent-tier-graphs.md</t>
        </is>
      </c>
    </row>
    <row r="46" ht="15" customHeight="1" s="10">
      <c r="B46" s="16" t="inlineStr">
        <is>
          <t>S8.1</t>
        </is>
      </c>
      <c r="C46" s="19" t="inlineStr">
        <is>
          <t>Review screen (probe + evidence)</t>
        </is>
      </c>
      <c r="D46" s="21" t="inlineStr">
        <is>
          <t>Not started</t>
        </is>
      </c>
      <c r="E46" s="21" t="inlineStr">
        <is>
          <t>Not started</t>
        </is>
      </c>
      <c r="F46" s="24" t="inlineStr">
        <is>
          <t>=</t>
        </is>
      </c>
      <c r="G46" s="16" t="inlineStr">
        <is>
          <t>S6.3</t>
        </is>
      </c>
      <c r="H46" s="19" t="n"/>
      <c r="I46" s="19" t="inlineStr">
        <is>
          <t>docs/hitl/EPIC-008-hitl-ui.md</t>
        </is>
      </c>
    </row>
    <row r="47" ht="15" customHeight="1" s="10">
      <c r="B47" s="16" t="inlineStr">
        <is>
          <t>S8.2</t>
        </is>
      </c>
      <c r="C47" s="19" t="inlineStr">
        <is>
          <t>Approve/reject + signal routing</t>
        </is>
      </c>
      <c r="D47" s="21" t="inlineStr">
        <is>
          <t>Not started</t>
        </is>
      </c>
      <c r="E47" s="21" t="inlineStr">
        <is>
          <t>Not started</t>
        </is>
      </c>
      <c r="F47" s="24" t="inlineStr">
        <is>
          <t>=</t>
        </is>
      </c>
      <c r="G47" s="16" t="inlineStr">
        <is>
          <t>S8.1, S6.3</t>
        </is>
      </c>
      <c r="H47" s="19" t="n"/>
      <c r="I47" s="19" t="inlineStr">
        <is>
          <t>docs/hitl/SPEC-005-hitl-gates.md</t>
        </is>
      </c>
    </row>
    <row r="48" ht="15" customHeight="1" s="10">
      <c r="B48" s="16" t="inlineStr">
        <is>
          <t>S8.3</t>
        </is>
      </c>
      <c r="C48" s="19" t="inlineStr">
        <is>
          <t>Onboarding gates UI</t>
        </is>
      </c>
      <c r="D48" s="21" t="inlineStr">
        <is>
          <t>Not started</t>
        </is>
      </c>
      <c r="E48" s="21" t="inlineStr">
        <is>
          <t>Not started</t>
        </is>
      </c>
      <c r="F48" s="24" t="inlineStr">
        <is>
          <t>=</t>
        </is>
      </c>
      <c r="G48" s="16" t="inlineStr">
        <is>
          <t>S6.4</t>
        </is>
      </c>
      <c r="H48" s="19" t="n"/>
      <c r="I48" s="19" t="inlineStr">
        <is>
          <t>docs/foundations/SPEC-013-tenant-onboarding.md</t>
        </is>
      </c>
    </row>
    <row r="49" ht="15" customHeight="1" s="10">
      <c r="B49" s="16" t="inlineStr">
        <is>
          <t>S9.1</t>
        </is>
      </c>
      <c r="C49" s="19" t="inlineStr">
        <is>
          <t>Replay runner (probe.jsonl)</t>
        </is>
      </c>
      <c r="D49" s="21" t="inlineStr">
        <is>
          <t>Not started</t>
        </is>
      </c>
      <c r="E49" s="21" t="inlineStr">
        <is>
          <t>Not started</t>
        </is>
      </c>
      <c r="F49" s="24" t="inlineStr">
        <is>
          <t>=</t>
        </is>
      </c>
      <c r="G49" s="16" t="inlineStr">
        <is>
          <t>S6.1</t>
        </is>
      </c>
      <c r="H49" s="19" t="n"/>
      <c r="I49" s="19" t="inlineStr">
        <is>
          <t>docs/eval/EPIC-009-evaluation-harness.md</t>
        </is>
      </c>
    </row>
    <row r="50" ht="15" customHeight="1" s="10">
      <c r="B50" s="16" t="inlineStr">
        <is>
          <t>S9.2</t>
        </is>
      </c>
      <c r="C50" s="19" t="inlineStr">
        <is>
          <t>Scoring harness</t>
        </is>
      </c>
      <c r="D50" s="21" t="inlineStr">
        <is>
          <t>Not started</t>
        </is>
      </c>
      <c r="E50" s="21" t="inlineStr">
        <is>
          <t>Not started</t>
        </is>
      </c>
      <c r="F50" s="24" t="inlineStr">
        <is>
          <t>=</t>
        </is>
      </c>
      <c r="G50" s="16" t="inlineStr">
        <is>
          <t>S9.1</t>
        </is>
      </c>
      <c r="H50" s="19" t="n"/>
      <c r="I50" s="19" t="inlineStr">
        <is>
          <t>docs/eval/EPIC-009-evaluation-harness.md</t>
        </is>
      </c>
    </row>
    <row r="51" ht="15" customHeight="1" s="10">
      <c r="B51" s="16" t="inlineStr">
        <is>
          <t>S9.3</t>
        </is>
      </c>
      <c r="C51" s="19" t="inlineStr">
        <is>
          <t>10-probe golden set</t>
        </is>
      </c>
      <c r="D51" s="21" t="inlineStr">
        <is>
          <t>Not started</t>
        </is>
      </c>
      <c r="E51" s="21" t="inlineStr">
        <is>
          <t>Not started</t>
        </is>
      </c>
      <c r="F51" s="24" t="inlineStr">
        <is>
          <t>=</t>
        </is>
      </c>
      <c r="G51" s="16" t="inlineStr">
        <is>
          <t>S9.1</t>
        </is>
      </c>
      <c r="H51" s="19" t="n"/>
      <c r="I51" s="19" t="inlineStr">
        <is>
          <t>docs/eval/EPIC-009-evaluation-harness.md</t>
        </is>
      </c>
    </row>
    <row r="52" ht="15" customHeight="1" s="10">
      <c r="B52" s="16" t="inlineStr">
        <is>
          <t>S10.1</t>
        </is>
      </c>
      <c r="C52" s="19" t="inlineStr">
        <is>
          <t>OpenTelemetry instrumentation</t>
        </is>
      </c>
      <c r="D52" s="21" t="inlineStr">
        <is>
          <t>Not started</t>
        </is>
      </c>
      <c r="E52" s="21" t="inlineStr">
        <is>
          <t>Not started</t>
        </is>
      </c>
      <c r="F52" s="24" t="inlineStr">
        <is>
          <t>=</t>
        </is>
      </c>
      <c r="G52" s="16" t="inlineStr">
        <is>
          <t>—</t>
        </is>
      </c>
      <c r="H52" s="19" t="n"/>
      <c r="I52" s="19" t="inlineStr">
        <is>
          <t>docs/observability/EPIC-010-observability.md</t>
        </is>
      </c>
    </row>
    <row r="53" ht="15" customHeight="1" s="10">
      <c r="B53" s="16" t="inlineStr">
        <is>
          <t>S10.2</t>
        </is>
      </c>
      <c r="C53" s="19" t="inlineStr">
        <is>
          <t>Cost dashboard (per-tenant, per-tier)</t>
        </is>
      </c>
      <c r="D53" s="21" t="inlineStr">
        <is>
          <t>Not started</t>
        </is>
      </c>
      <c r="E53" s="21" t="inlineStr">
        <is>
          <t>Not started</t>
        </is>
      </c>
      <c r="F53" s="24" t="inlineStr">
        <is>
          <t>=</t>
        </is>
      </c>
      <c r="G53" s="16" t="inlineStr">
        <is>
          <t>S10.1</t>
        </is>
      </c>
      <c r="H53" s="19" t="n"/>
      <c r="I53" s="19" t="inlineStr">
        <is>
          <t>docs/observability/EPIC-010-observability.md</t>
        </is>
      </c>
    </row>
    <row r="54" ht="15" customHeight="1" s="10">
      <c r="B54" s="16" t="inlineStr">
        <is>
          <t>S10.3</t>
        </is>
      </c>
      <c r="C54" s="19" t="inlineStr">
        <is>
          <t>HITL dashboard (queue + SLA)</t>
        </is>
      </c>
      <c r="D54" s="21" t="inlineStr">
        <is>
          <t>Not started</t>
        </is>
      </c>
      <c r="E54" s="21" t="inlineStr">
        <is>
          <t>Not started</t>
        </is>
      </c>
      <c r="F54" s="24" t="inlineStr">
        <is>
          <t>=</t>
        </is>
      </c>
      <c r="G54" s="16" t="inlineStr">
        <is>
          <t>S10.1</t>
        </is>
      </c>
      <c r="H54" s="19" t="n"/>
      <c r="I54" s="19" t="inlineStr">
        <is>
          <t>docs/observability/EPIC-010-observability.md</t>
        </is>
      </c>
    </row>
    <row r="55" ht="15" customHeight="1" s="10">
      <c r="B55" s="16" t="inlineStr">
        <is>
          <t>S11.1</t>
        </is>
      </c>
      <c r="C55" s="19" t="inlineStr">
        <is>
          <t>Parity tests: sim vs real connector</t>
        </is>
      </c>
      <c r="D55" s="21" t="inlineStr">
        <is>
          <t>Not started</t>
        </is>
      </c>
      <c r="E55" s="21" t="inlineStr">
        <is>
          <t>Not started</t>
        </is>
      </c>
      <c r="F55" s="24" t="inlineStr">
        <is>
          <t>=</t>
        </is>
      </c>
      <c r="G55" s="16" t="inlineStr">
        <is>
          <t>S13.8</t>
        </is>
      </c>
      <c r="H55" s="19" t="n"/>
      <c r="I55" s="19" t="inlineStr">
        <is>
          <t>docs/pilot/EPIC-011-pilot-readiness.md</t>
        </is>
      </c>
    </row>
    <row r="56" ht="15" customHeight="1" s="10">
      <c r="B56" s="16" t="inlineStr">
        <is>
          <t>S11.2</t>
        </is>
      </c>
      <c r="C56" s="19" t="inlineStr">
        <is>
          <t>Customer configs (overlays + creds)</t>
        </is>
      </c>
      <c r="D56" s="21" t="inlineStr">
        <is>
          <t>Not started</t>
        </is>
      </c>
      <c r="E56" s="21" t="inlineStr">
        <is>
          <t>Not started</t>
        </is>
      </c>
      <c r="F56" s="24" t="inlineStr">
        <is>
          <t>=</t>
        </is>
      </c>
      <c r="G56" s="16" t="inlineStr">
        <is>
          <t>S4.4, S13.9</t>
        </is>
      </c>
      <c r="H56" s="19" t="n"/>
      <c r="I56" s="19" t="inlineStr">
        <is>
          <t>docs/pilot/EPIC-011-pilot-readiness.md</t>
        </is>
      </c>
    </row>
    <row r="57" ht="15" customHeight="1" s="10">
      <c r="B57" s="16" t="inlineStr">
        <is>
          <t>S11.3</t>
        </is>
      </c>
      <c r="C57" s="19" t="inlineStr">
        <is>
          <t>Runbook + incident playbooks</t>
        </is>
      </c>
      <c r="D57" s="21" t="inlineStr">
        <is>
          <t>Not started</t>
        </is>
      </c>
      <c r="E57" s="21" t="inlineStr">
        <is>
          <t>Not started</t>
        </is>
      </c>
      <c r="F57" s="24" t="inlineStr">
        <is>
          <t>=</t>
        </is>
      </c>
      <c r="G57" s="16" t="inlineStr">
        <is>
          <t>—</t>
        </is>
      </c>
      <c r="H57" s="19" t="n"/>
      <c r="I57" s="19" t="inlineStr">
        <is>
          <t>docs/pilot/EPIC-011-pilot-readiness.md</t>
        </is>
      </c>
    </row>
    <row r="58" ht="15" customHeight="1" s="10">
      <c r="B58" s="16" t="inlineStr">
        <is>
          <t>S11.4</t>
        </is>
      </c>
      <c r="C58" s="19" t="inlineStr">
        <is>
          <t>Pilot acceptance gate</t>
        </is>
      </c>
      <c r="D58" s="21" t="inlineStr">
        <is>
          <t>Not started</t>
        </is>
      </c>
      <c r="E58" s="21" t="inlineStr">
        <is>
          <t>Not started</t>
        </is>
      </c>
      <c r="F58" s="24" t="inlineStr">
        <is>
          <t>=</t>
        </is>
      </c>
      <c r="G58" s="16" t="inlineStr">
        <is>
          <t>S11.1-S11.3</t>
        </is>
      </c>
      <c r="H58" s="19" t="n"/>
      <c r="I58" s="19" t="inlineStr">
        <is>
          <t>docs/pilot/EPIC-011-pilot-readiness.md</t>
        </is>
      </c>
    </row>
  </sheetData>
  <autoFilter ref="B1:G58"/>
  <conditionalFormatting sqref="D2:D108">
    <cfRule type="cellIs" rank="0" priority="2" equalAverage="0" operator="equal" aboveAverage="0" dxfId="6" text="" percent="0" bottom="0">
      <formula>"Done"</formula>
    </cfRule>
    <cfRule type="cellIs" rank="0" priority="3" equalAverage="0" operator="equal" aboveAverage="0" dxfId="7" text="" percent="0" bottom="0">
      <formula>"In progress"</formula>
    </cfRule>
    <cfRule type="cellIs" rank="0" priority="4" equalAverage="0" operator="equal" aboveAverage="0" dxfId="8" text="" percent="0" bottom="0">
      <formula>"Blocked"</formula>
    </cfRule>
    <cfRule type="cellIs" rank="0" priority="5" equalAverage="0" operator="equal" aboveAverage="0" dxfId="9" text="" percent="0" bottom="0">
      <formula>"Not started"</formula>
    </cfRule>
    <cfRule type="cellIs" rank="0" priority="6" equalAverage="0" operator="equal" aboveAverage="0" dxfId="10" text="" percent="0" bottom="0">
      <formula>"Paused"</formula>
    </cfRule>
    <cfRule type="cellIs" rank="0" priority="7" equalAverage="0" operator="equal" aboveAverage="0" dxfId="11" text="" percent="0" bottom="0">
      <formula>"Cancelled"</formula>
    </cfRule>
  </conditionalFormatting>
  <dataValidations count="1">
    <dataValidation sqref="D2:D108" showDropDown="0" showInputMessage="0" showErrorMessage="0" allowBlank="1" type="list" errorStyle="stop" operator="between">
      <formula1>"Not started,In progress,Done,Blocked,Paused,Cancelled"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7" customWidth="1" style="9" min="2" max="2"/>
    <col width="10" customWidth="1" style="9" min="3" max="3"/>
    <col width="44" customWidth="1" style="9" min="4" max="4"/>
    <col width="16" customWidth="1" style="9" min="5" max="6"/>
    <col width="16" customWidth="1" style="10" min="6" max="6"/>
    <col width="10" customWidth="1" style="9" min="7" max="8"/>
  </cols>
  <sheetData>
    <row r="1" ht="15" customHeight="1" s="10">
      <c r="B1" s="14" t="inlineStr">
        <is>
          <t>Order</t>
        </is>
      </c>
      <c r="C1" s="14" t="inlineStr">
        <is>
          <t>ID</t>
        </is>
      </c>
      <c r="D1" s="14" t="inlineStr">
        <is>
          <t>Story</t>
        </is>
      </c>
      <c r="E1" s="20" t="inlineStr">
        <is>
          <t>Tracker (Jun-4)</t>
        </is>
      </c>
      <c r="F1" s="20" t="inlineStr">
        <is>
          <t>Verified (Jun-9)</t>
        </is>
      </c>
      <c r="G1" s="20" t="inlineStr">
        <is>
          <t>Diff</t>
        </is>
      </c>
      <c r="H1" s="14" t="inlineStr">
        <is>
          <t>Dep</t>
        </is>
      </c>
      <c r="I1" s="14" t="inlineStr">
        <is>
          <t>Docs</t>
        </is>
      </c>
      <c r="J1" s="14" t="inlineStr">
        <is>
          <t>Notes</t>
        </is>
      </c>
    </row>
    <row r="2" ht="15" customHeight="1" s="10">
      <c r="B2" s="16" t="n">
        <v>1</v>
      </c>
      <c r="C2" s="16" t="inlineStr">
        <is>
          <t>S2.1</t>
        </is>
      </c>
      <c r="D2" s="19" t="inlineStr">
        <is>
          <t>Fixture loader + manifest schema  ⚑ FOUNDATION — start here</t>
        </is>
      </c>
      <c r="E2" s="21" t="inlineStr">
        <is>
          <t>Not started</t>
        </is>
      </c>
      <c r="F2" s="22" t="inlineStr">
        <is>
          <t>Done</t>
        </is>
      </c>
      <c r="G2" s="23" t="inlineStr">
        <is>
          <t>up ahead</t>
        </is>
      </c>
      <c r="H2" s="16" t="inlineStr">
        <is>
          <t>S1.2</t>
        </is>
      </c>
      <c r="I2" s="19" t="inlineStr">
        <is>
          <t>docs/simulators/SPEC-014-simulator-fixture-schema.md</t>
        </is>
      </c>
      <c r="J2" s="19" t="inlineStr">
        <is>
          <t>Blocks S2.2-S2.7. Day 1-2.</t>
        </is>
      </c>
    </row>
    <row r="3" ht="15" customHeight="1" s="10">
      <c r="B3" s="16" t="n">
        <v>2</v>
      </c>
      <c r="C3" s="16" t="inlineStr">
        <is>
          <t>S2.8</t>
        </is>
      </c>
      <c r="D3" s="19" t="inlineStr">
        <is>
          <t>Realism harness (drift, jitter, fault injection)  ⚑ FOUNDATION</t>
        </is>
      </c>
      <c r="E3" s="21" t="inlineStr">
        <is>
          <t>Not started</t>
        </is>
      </c>
      <c r="F3" s="22" t="inlineStr">
        <is>
          <t>Done</t>
        </is>
      </c>
      <c r="G3" s="23" t="inlineStr">
        <is>
          <t>up ahead</t>
        </is>
      </c>
      <c r="H3" s="16" t="inlineStr">
        <is>
          <t>S2.1</t>
        </is>
      </c>
      <c r="I3" s="19" t="inlineStr">
        <is>
          <t>docs/simulators/SPEC-007-simulator-behavior.md</t>
        </is>
      </c>
      <c r="J3" s="19" t="inlineStr">
        <is>
          <t>Day 1-2, parallel with S2.1.</t>
        </is>
      </c>
    </row>
    <row r="4" ht="15" customHeight="1" s="10">
      <c r="B4" s="16" t="n">
        <v>3</v>
      </c>
      <c r="C4" s="16" t="inlineStr">
        <is>
          <t>S2.7</t>
        </is>
      </c>
      <c r="D4" s="19" t="inlineStr">
        <is>
          <t>MQTT/UNS simulator (Mosquitto + Sparkplug B publisher)</t>
        </is>
      </c>
      <c r="E4" s="21" t="inlineStr">
        <is>
          <t>Not started</t>
        </is>
      </c>
      <c r="F4" s="22" t="inlineStr">
        <is>
          <t>Done</t>
        </is>
      </c>
      <c r="G4" s="23" t="inlineStr">
        <is>
          <t>up ahead</t>
        </is>
      </c>
      <c r="H4" s="16" t="inlineStr">
        <is>
          <t>S2.1</t>
        </is>
      </c>
      <c r="I4" s="19" t="inlineStr">
        <is>
          <t>docs/simulators/EPIC-002-simulators.md §S2.7</t>
        </is>
      </c>
      <c r="J4" s="19" t="inlineStr">
        <is>
          <t>Day 3-4. Simplest — just publish bytes. Validates fixture loader end-to-end.</t>
        </is>
      </c>
    </row>
    <row r="5" ht="15" customHeight="1" s="10">
      <c r="B5" s="16" t="n">
        <v>4</v>
      </c>
      <c r="C5" s="16" t="inlineStr">
        <is>
          <t>S2.5</t>
        </is>
      </c>
      <c r="D5" s="19" t="inlineStr">
        <is>
          <t>OPC UA simulator (asyncua server + nodes)</t>
        </is>
      </c>
      <c r="E5" s="21" t="inlineStr">
        <is>
          <t>Not started</t>
        </is>
      </c>
      <c r="F5" s="22" t="inlineStr">
        <is>
          <t>Done</t>
        </is>
      </c>
      <c r="G5" s="23" t="inlineStr">
        <is>
          <t>up ahead</t>
        </is>
      </c>
      <c r="H5" s="16" t="inlineStr">
        <is>
          <t>S2.1</t>
        </is>
      </c>
      <c r="I5" s="19" t="inlineStr">
        <is>
          <t>docs/simulators/EPIC-002-simulators.md §S2.5</t>
        </is>
      </c>
      <c r="J5" s="19" t="inlineStr">
        <is>
          <t>Day 5-7. Well-documented protocol.</t>
        </is>
      </c>
    </row>
    <row r="6" ht="15" customHeight="1" s="10">
      <c r="B6" s="16" t="n">
        <v>5</v>
      </c>
      <c r="C6" s="16" t="inlineStr">
        <is>
          <t>S2.6</t>
        </is>
      </c>
      <c r="D6" s="19" t="inlineStr">
        <is>
          <t>SharePoint / S3 document simulator (FastAPI + MinIO)</t>
        </is>
      </c>
      <c r="E6" s="21" t="inlineStr">
        <is>
          <t>Not started</t>
        </is>
      </c>
      <c r="F6" s="22" t="inlineStr">
        <is>
          <t>Done</t>
        </is>
      </c>
      <c r="G6" s="23" t="inlineStr">
        <is>
          <t>up ahead</t>
        </is>
      </c>
      <c r="H6" s="16" t="inlineStr">
        <is>
          <t>S2.1</t>
        </is>
      </c>
      <c r="I6" s="19" t="inlineStr">
        <is>
          <t>docs/simulators/EPIC-002-simulators.md §S2.6</t>
        </is>
      </c>
      <c r="J6" s="19" t="inlineStr">
        <is>
          <t>Week 2. Documents for evidence.</t>
        </is>
      </c>
    </row>
    <row r="7" ht="15" customHeight="1" s="10">
      <c r="B7" s="16" t="n">
        <v>6</v>
      </c>
      <c r="C7" s="16" t="inlineStr">
        <is>
          <t>S2.2</t>
        </is>
      </c>
      <c r="D7" s="19" t="inlineStr">
        <is>
          <t>PI Historian simulator (PI Web API REST subset)</t>
        </is>
      </c>
      <c r="E7" s="21" t="inlineStr">
        <is>
          <t>Not started</t>
        </is>
      </c>
      <c r="F7" s="22" t="inlineStr">
        <is>
          <t>Done</t>
        </is>
      </c>
      <c r="G7" s="23" t="inlineStr">
        <is>
          <t>up ahead</t>
        </is>
      </c>
      <c r="H7" s="16" t="inlineStr">
        <is>
          <t>S2.1</t>
        </is>
      </c>
      <c r="I7" s="19" t="inlineStr">
        <is>
          <t>docs/simulators/EPIC-002-simulators.md §S2.2</t>
        </is>
      </c>
      <c r="J7" s="19" t="inlineStr">
        <is>
          <t>Week 3. Most surface area; biggest payback.</t>
        </is>
      </c>
    </row>
    <row r="8" ht="15" customHeight="1" s="10">
      <c r="B8" s="16" t="n">
        <v>7</v>
      </c>
      <c r="C8" s="16" t="inlineStr">
        <is>
          <t>S2.3</t>
        </is>
      </c>
      <c r="D8" s="19" t="inlineStr">
        <is>
          <t>Maximo simulator (OSLC REST: work orders, assets, locations)</t>
        </is>
      </c>
      <c r="E8" s="21" t="inlineStr">
        <is>
          <t>Not started</t>
        </is>
      </c>
      <c r="F8" s="22" t="inlineStr">
        <is>
          <t>Done</t>
        </is>
      </c>
      <c r="G8" s="23" t="inlineStr">
        <is>
          <t>up ahead</t>
        </is>
      </c>
      <c r="H8" s="16" t="inlineStr">
        <is>
          <t>S2.1</t>
        </is>
      </c>
      <c r="I8" s="19" t="inlineStr">
        <is>
          <t>docs/simulators/EPIC-002-simulators.md §S2.3</t>
        </is>
      </c>
      <c r="J8" s="19" t="inlineStr">
        <is>
          <t>Week 4. CMMS data.</t>
        </is>
      </c>
    </row>
    <row r="9" ht="15" customHeight="1" s="10">
      <c r="B9" s="16" t="n">
        <v>8</v>
      </c>
      <c r="C9" s="16" t="inlineStr">
        <is>
          <t>S2.4</t>
        </is>
      </c>
      <c r="D9" s="19" t="inlineStr">
        <is>
          <t>SAP PM simulator (OData v2: equipment, notifications)</t>
        </is>
      </c>
      <c r="E9" s="21" t="inlineStr">
        <is>
          <t>Not started</t>
        </is>
      </c>
      <c r="F9" s="22" t="inlineStr">
        <is>
          <t>Done</t>
        </is>
      </c>
      <c r="G9" s="23" t="inlineStr">
        <is>
          <t>up ahead</t>
        </is>
      </c>
      <c r="H9" s="16" t="inlineStr">
        <is>
          <t>S2.1</t>
        </is>
      </c>
      <c r="I9" s="19" t="inlineStr">
        <is>
          <t>docs/simulators/EPIC-002-simulators.md §S2.4</t>
        </is>
      </c>
      <c r="J9" s="19" t="inlineStr">
        <is>
          <t>Week 4, parallel with Maximo.</t>
        </is>
      </c>
    </row>
  </sheetData>
  <autoFilter ref="B1:H9"/>
  <conditionalFormatting sqref="D2:D59">
    <cfRule type="cellIs" rank="0" priority="2" equalAverage="0" operator="equal" aboveAverage="0" dxfId="6" text="" percent="0" bottom="0">
      <formula>"Done"</formula>
    </cfRule>
    <cfRule type="cellIs" rank="0" priority="3" equalAverage="0" operator="equal" aboveAverage="0" dxfId="7" text="" percent="0" bottom="0">
      <formula>"In progress"</formula>
    </cfRule>
    <cfRule type="cellIs" rank="0" priority="4" equalAverage="0" operator="equal" aboveAverage="0" dxfId="8" text="" percent="0" bottom="0">
      <formula>"Blocked"</formula>
    </cfRule>
    <cfRule type="cellIs" rank="0" priority="5" equalAverage="0" operator="equal" aboveAverage="0" dxfId="9" text="" percent="0" bottom="0">
      <formula>"Not started"</formula>
    </cfRule>
    <cfRule type="cellIs" rank="0" priority="6" equalAverage="0" operator="equal" aboveAverage="0" dxfId="10" text="" percent="0" bottom="0">
      <formula>"Paused"</formula>
    </cfRule>
    <cfRule type="cellIs" rank="0" priority="7" equalAverage="0" operator="equal" aboveAverage="0" dxfId="11" text="" percent="0" bottom="0">
      <formula>"Cancelled"</formula>
    </cfRule>
  </conditionalFormatting>
  <conditionalFormatting sqref="E2:E39">
    <cfRule type="cellIs" rank="0" priority="8" equalAverage="0" operator="equal" aboveAverage="0" dxfId="6" text="" percent="0" bottom="0">
      <formula>"Done"</formula>
    </cfRule>
    <cfRule type="cellIs" rank="0" priority="9" equalAverage="0" operator="equal" aboveAverage="0" dxfId="7" text="" percent="0" bottom="0">
      <formula>"In progress"</formula>
    </cfRule>
    <cfRule type="cellIs" rank="0" priority="10" equalAverage="0" operator="equal" aboveAverage="0" dxfId="8" text="" percent="0" bottom="0">
      <formula>"Blocked"</formula>
    </cfRule>
    <cfRule type="cellIs" rank="0" priority="11" equalAverage="0" operator="equal" aboveAverage="0" dxfId="9" text="" percent="0" bottom="0">
      <formula>"Not started"</formula>
    </cfRule>
    <cfRule type="cellIs" rank="0" priority="12" equalAverage="0" operator="equal" aboveAverage="0" dxfId="10" text="" percent="0" bottom="0">
      <formula>"Paused"</formula>
    </cfRule>
    <cfRule type="cellIs" rank="0" priority="13" equalAverage="0" operator="equal" aboveAverage="0" dxfId="11" text="" percent="0" bottom="0">
      <formula>"Cancelled"</formula>
    </cfRule>
  </conditionalFormatting>
  <dataValidations count="2">
    <dataValidation sqref="D2:D59" showDropDown="0" showInputMessage="0" showErrorMessage="0" allowBlank="1" type="list" errorStyle="stop" operator="between">
      <formula1>"Not started,In progress,Done,Blocked,Paused,Cancelled"</formula1>
      <formula2>0</formula2>
    </dataValidation>
    <dataValidation sqref="E2:E39" showDropDown="0" showInputMessage="0" showErrorMessage="0" allowBlank="1" type="list" errorStyle="stop" operator="between">
      <formula1>"Not started,In progress,Done,Blocked,Paused,Cancelled"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12" customWidth="1" style="9" min="2" max="3"/>
    <col width="42" customWidth="1" style="9" min="4" max="4"/>
    <col width="24" customWidth="1" style="9" min="5" max="5"/>
    <col width="14" customWidth="1" style="9" min="6" max="6"/>
    <col width="30" customWidth="1" style="9" min="7" max="7"/>
  </cols>
  <sheetData>
    <row r="2" ht="21.75" customHeight="1" s="10">
      <c r="B2" s="11" t="inlineStr">
        <is>
          <t>Active Blockers</t>
        </is>
      </c>
    </row>
    <row r="3" ht="15" customHeight="1" s="10">
      <c r="B3" s="12" t="inlineStr">
        <is>
          <t>Add rows as blockers are discovered. Status auto-colors.</t>
        </is>
      </c>
    </row>
    <row r="5" ht="15" customHeight="1" s="10">
      <c r="B5" s="14" t="inlineStr">
        <is>
          <t>Opened</t>
        </is>
      </c>
      <c r="C5" s="14" t="inlineStr">
        <is>
          <t>Story</t>
        </is>
      </c>
      <c r="D5" s="14" t="inlineStr">
        <is>
          <t>Description</t>
        </is>
      </c>
      <c r="E5" s="14" t="inlineStr">
        <is>
          <t>Owner</t>
        </is>
      </c>
      <c r="F5" s="14" t="inlineStr">
        <is>
          <t>Status</t>
        </is>
      </c>
      <c r="G5" s="14" t="inlineStr">
        <is>
          <t>Resolution</t>
        </is>
      </c>
    </row>
    <row r="6" ht="15" customHeight="1" s="10">
      <c r="B6" s="19" t="n"/>
      <c r="C6" s="19" t="n"/>
      <c r="D6" s="19" t="n"/>
      <c r="E6" s="19" t="n"/>
      <c r="F6" s="19" t="n"/>
      <c r="G6" s="19" t="n"/>
    </row>
    <row r="7" ht="15" customHeight="1" s="10">
      <c r="B7" s="19" t="n"/>
      <c r="C7" s="19" t="n"/>
      <c r="D7" s="19" t="n"/>
      <c r="E7" s="19" t="n"/>
      <c r="F7" s="19" t="n"/>
      <c r="G7" s="19" t="n"/>
    </row>
    <row r="8" ht="15" customHeight="1" s="10">
      <c r="B8" s="19" t="n"/>
      <c r="C8" s="19" t="n"/>
      <c r="D8" s="19" t="n"/>
      <c r="E8" s="19" t="n"/>
      <c r="F8" s="19" t="n"/>
      <c r="G8" s="19" t="n"/>
    </row>
    <row r="9" ht="15" customHeight="1" s="10">
      <c r="B9" s="19" t="n"/>
      <c r="C9" s="19" t="n"/>
      <c r="D9" s="19" t="n"/>
      <c r="E9" s="19" t="n"/>
      <c r="F9" s="19" t="n"/>
      <c r="G9" s="19" t="n"/>
    </row>
    <row r="10" ht="15" customHeight="1" s="10">
      <c r="B10" s="19" t="n"/>
      <c r="C10" s="19" t="n"/>
      <c r="D10" s="19" t="n"/>
      <c r="E10" s="19" t="n"/>
      <c r="F10" s="19" t="n"/>
      <c r="G10" s="19" t="n"/>
    </row>
    <row r="11" ht="15" customHeight="1" s="10">
      <c r="B11" s="19" t="n"/>
      <c r="C11" s="19" t="n"/>
      <c r="D11" s="19" t="n"/>
      <c r="E11" s="19" t="n"/>
      <c r="F11" s="19" t="n"/>
      <c r="G11" s="19" t="n"/>
    </row>
    <row r="12" ht="15" customHeight="1" s="10">
      <c r="B12" s="19" t="n"/>
      <c r="C12" s="19" t="n"/>
      <c r="D12" s="19" t="n"/>
      <c r="E12" s="19" t="n"/>
      <c r="F12" s="19" t="n"/>
      <c r="G12" s="19" t="n"/>
    </row>
    <row r="13" ht="15" customHeight="1" s="10">
      <c r="B13" s="19" t="n"/>
      <c r="C13" s="19" t="n"/>
      <c r="D13" s="19" t="n"/>
      <c r="E13" s="19" t="n"/>
      <c r="F13" s="19" t="n"/>
      <c r="G13" s="19" t="n"/>
    </row>
    <row r="14" ht="15" customHeight="1" s="10">
      <c r="B14" s="19" t="n"/>
      <c r="C14" s="19" t="n"/>
      <c r="D14" s="19" t="n"/>
      <c r="E14" s="19" t="n"/>
      <c r="F14" s="19" t="n"/>
      <c r="G14" s="19" t="n"/>
    </row>
    <row r="15" ht="15" customHeight="1" s="10">
      <c r="B15" s="19" t="n"/>
      <c r="C15" s="19" t="n"/>
      <c r="D15" s="19" t="n"/>
      <c r="E15" s="19" t="n"/>
      <c r="F15" s="19" t="n"/>
      <c r="G15" s="19" t="n"/>
    </row>
    <row r="16" ht="15" customHeight="1" s="10">
      <c r="B16" s="19" t="n"/>
      <c r="C16" s="19" t="n"/>
      <c r="D16" s="19" t="n"/>
      <c r="E16" s="19" t="n"/>
      <c r="F16" s="19" t="n"/>
      <c r="G16" s="19" t="n"/>
    </row>
    <row r="17" ht="15" customHeight="1" s="10">
      <c r="B17" s="19" t="n"/>
      <c r="C17" s="19" t="n"/>
      <c r="D17" s="19" t="n"/>
      <c r="E17" s="19" t="n"/>
      <c r="F17" s="19" t="n"/>
      <c r="G17" s="19" t="n"/>
    </row>
    <row r="18" ht="15" customHeight="1" s="10">
      <c r="B18" s="19" t="n"/>
      <c r="C18" s="19" t="n"/>
      <c r="D18" s="19" t="n"/>
      <c r="E18" s="19" t="n"/>
      <c r="F18" s="19" t="n"/>
      <c r="G18" s="19" t="n"/>
    </row>
    <row r="19" ht="15" customHeight="1" s="10">
      <c r="B19" s="19" t="n"/>
      <c r="C19" s="19" t="n"/>
      <c r="D19" s="19" t="n"/>
      <c r="E19" s="19" t="n"/>
      <c r="F19" s="19" t="n"/>
      <c r="G19" s="19" t="n"/>
    </row>
    <row r="20" ht="15" customHeight="1" s="10">
      <c r="B20" s="19" t="n"/>
      <c r="C20" s="19" t="n"/>
      <c r="D20" s="19" t="n"/>
      <c r="E20" s="19" t="n"/>
      <c r="F20" s="19" t="n"/>
      <c r="G20" s="19" t="n"/>
    </row>
    <row r="21" ht="15" customHeight="1" s="10">
      <c r="B21" s="19" t="n"/>
      <c r="C21" s="19" t="n"/>
      <c r="D21" s="19" t="n"/>
      <c r="E21" s="19" t="n"/>
      <c r="F21" s="19" t="n"/>
      <c r="G21" s="19" t="n"/>
    </row>
    <row r="22" ht="15" customHeight="1" s="10">
      <c r="B22" s="19" t="n"/>
      <c r="C22" s="19" t="n"/>
      <c r="D22" s="19" t="n"/>
      <c r="E22" s="19" t="n"/>
      <c r="F22" s="19" t="n"/>
      <c r="G22" s="19" t="n"/>
    </row>
    <row r="23" ht="15" customHeight="1" s="10">
      <c r="B23" s="19" t="n"/>
      <c r="C23" s="19" t="n"/>
      <c r="D23" s="19" t="n"/>
      <c r="E23" s="19" t="n"/>
      <c r="F23" s="19" t="n"/>
      <c r="G23" s="19" t="n"/>
    </row>
    <row r="24" ht="15" customHeight="1" s="10">
      <c r="B24" s="19" t="n"/>
      <c r="C24" s="19" t="n"/>
      <c r="D24" s="19" t="n"/>
      <c r="E24" s="19" t="n"/>
      <c r="F24" s="19" t="n"/>
      <c r="G24" s="19" t="n"/>
    </row>
    <row r="25" ht="15" customHeight="1" s="10">
      <c r="B25" s="19" t="n"/>
      <c r="C25" s="19" t="n"/>
      <c r="D25" s="19" t="n"/>
      <c r="E25" s="19" t="n"/>
      <c r="F25" s="19" t="n"/>
      <c r="G25" s="19" t="n"/>
    </row>
  </sheetData>
  <autoFilter ref="B5:G25"/>
  <mergeCells count="2">
    <mergeCell ref="B3:G3"/>
    <mergeCell ref="B2:G2"/>
  </mergeCells>
  <conditionalFormatting sqref="F6:F25">
    <cfRule type="cellIs" rank="0" priority="2" equalAverage="0" operator="equal" aboveAverage="0" dxfId="6" text="" percent="0" bottom="0">
      <formula>"Done"</formula>
    </cfRule>
    <cfRule type="cellIs" rank="0" priority="3" equalAverage="0" operator="equal" aboveAverage="0" dxfId="7" text="" percent="0" bottom="0">
      <formula>"In progress"</formula>
    </cfRule>
    <cfRule type="cellIs" rank="0" priority="4" equalAverage="0" operator="equal" aboveAverage="0" dxfId="8" text="" percent="0" bottom="0">
      <formula>"Blocked"</formula>
    </cfRule>
    <cfRule type="cellIs" rank="0" priority="5" equalAverage="0" operator="equal" aboveAverage="0" dxfId="9" text="" percent="0" bottom="0">
      <formula>"Not started"</formula>
    </cfRule>
    <cfRule type="cellIs" rank="0" priority="6" equalAverage="0" operator="equal" aboveAverage="0" dxfId="10" text="" percent="0" bottom="0">
      <formula>"Paused"</formula>
    </cfRule>
    <cfRule type="cellIs" rank="0" priority="7" equalAverage="0" operator="equal" aboveAverage="0" dxfId="11" text="" percent="0" bottom="0">
      <formula>"Cancelled"</formula>
    </cfRule>
  </conditionalFormatting>
  <dataValidations count="1">
    <dataValidation sqref="F6:F25" showDropDown="0" showInputMessage="0" showErrorMessage="0" allowBlank="1" type="list" errorStyle="stop" operator="between">
      <formula1>"Not started,In progress,Done,Blocked,Paused,Cancelled"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14" customWidth="1" style="9" min="2" max="2"/>
    <col width="50" customWidth="1" style="9" min="3" max="3"/>
    <col width="30" customWidth="1" style="9" min="4" max="4"/>
    <col width="22" customWidth="1" style="9" min="5" max="5"/>
  </cols>
  <sheetData>
    <row r="2" ht="21.75" customHeight="1" s="10">
      <c r="B2" s="11" t="inlineStr">
        <is>
          <t>Decision Log</t>
        </is>
      </c>
    </row>
    <row r="3" ht="15" customHeight="1" s="10">
      <c r="B3" s="12" t="inlineStr">
        <is>
          <t>Architecture and process decisions. Promote significant ones to ADRs in docs/adrs/.</t>
        </is>
      </c>
    </row>
    <row r="5" ht="15" customHeight="1" s="10">
      <c r="B5" s="14" t="inlineStr">
        <is>
          <t>Date</t>
        </is>
      </c>
      <c r="C5" s="14" t="inlineStr">
        <is>
          <t>Decision</t>
        </is>
      </c>
      <c r="D5" s="14" t="inlineStr">
        <is>
          <t>Context / Rationale</t>
        </is>
      </c>
      <c r="E5" s="14" t="inlineStr">
        <is>
          <t>Outcome</t>
        </is>
      </c>
    </row>
    <row r="6" ht="108.75" customHeight="1" s="10">
      <c r="B6" s="16" t="inlineStr">
        <is>
          <t>2026-06-04</t>
        </is>
      </c>
      <c r="C6" s="19" t="inlineStr">
        <is>
          <t>Connectors own the MCP contract; simulators stand in for sources</t>
        </is>
      </c>
      <c r="D6" s="19" t="inlineStr">
        <is>
          <t>Original framing put simulators as 'fake connectors,' which made connector + simulator look like one workstream. Reframed to clarify: connectors are the integration layer; simulators implement the same source-side interface as real systems.</t>
        </is>
      </c>
      <c r="E6" s="19" t="inlineStr">
        <is>
          <t>Promoted to ADR-0012; unblocks parallel Track B work</t>
        </is>
      </c>
    </row>
    <row r="7" ht="15" customHeight="1" s="10">
      <c r="B7" s="27" t="inlineStr">
        <is>
          <t>2026-06-09</t>
        </is>
      </c>
      <c r="C7" s="27" t="inlineStr">
        <is>
          <t>Skip tier-bounded tool catalogs for Phase 1 MVP; expose all MCP tools</t>
        </is>
      </c>
      <c r="D7" s="27" t="inlineStr">
        <is>
          <t>With only ~5-10 tools total, per-tier catalog filtering (EPIC-005 S5.1/S5.2) solves problems that don't bite at this scale: context bloat and least-privilege isolation only pay off at large tool counts. Phase 1 agents receive the full toolset from the connected MCP servers directly.</t>
        </is>
      </c>
      <c r="E7" s="27" t="inlineStr">
        <is>
          <t>EPIC-005 tier work deferred to post-Phase-1. Revisit when tool count grows or Govern-tier write-backs need guarding. ADR-0005 / SPEC-002 tier-catalog language now aspirational, not Phase-1.</t>
        </is>
      </c>
    </row>
    <row r="8" ht="15" customHeight="1" s="10">
      <c r="B8" s="19" t="n"/>
      <c r="C8" s="19" t="n"/>
      <c r="D8" s="19" t="n"/>
      <c r="E8" s="19" t="n"/>
    </row>
    <row r="9" ht="15" customHeight="1" s="10">
      <c r="B9" s="19" t="n"/>
      <c r="C9" s="19" t="n"/>
      <c r="D9" s="19" t="n"/>
      <c r="E9" s="19" t="n"/>
    </row>
    <row r="10" ht="15" customHeight="1" s="10">
      <c r="B10" s="19" t="n"/>
      <c r="C10" s="19" t="n"/>
      <c r="D10" s="19" t="n"/>
      <c r="E10" s="19" t="n"/>
    </row>
    <row r="11" ht="15" customHeight="1" s="10">
      <c r="B11" s="19" t="n"/>
      <c r="C11" s="19" t="n"/>
      <c r="D11" s="19" t="n"/>
      <c r="E11" s="19" t="n"/>
    </row>
    <row r="12" ht="15" customHeight="1" s="10">
      <c r="B12" s="19" t="n"/>
      <c r="C12" s="19" t="n"/>
      <c r="D12" s="19" t="n"/>
      <c r="E12" s="19" t="n"/>
    </row>
    <row r="13" ht="15" customHeight="1" s="10">
      <c r="B13" s="19" t="n"/>
      <c r="C13" s="19" t="n"/>
      <c r="D13" s="19" t="n"/>
      <c r="E13" s="19" t="n"/>
    </row>
    <row r="14" ht="15" customHeight="1" s="10">
      <c r="B14" s="19" t="n"/>
      <c r="C14" s="19" t="n"/>
      <c r="D14" s="19" t="n"/>
      <c r="E14" s="19" t="n"/>
    </row>
    <row r="15" ht="15" customHeight="1" s="10">
      <c r="B15" s="19" t="n"/>
      <c r="C15" s="19" t="n"/>
      <c r="D15" s="19" t="n"/>
      <c r="E15" s="19" t="n"/>
    </row>
    <row r="16" ht="15" customHeight="1" s="10">
      <c r="B16" s="19" t="n"/>
      <c r="C16" s="19" t="n"/>
      <c r="D16" s="19" t="n"/>
      <c r="E16" s="19" t="n"/>
    </row>
    <row r="17" ht="15" customHeight="1" s="10">
      <c r="B17" s="19" t="n"/>
      <c r="C17" s="19" t="n"/>
      <c r="D17" s="19" t="n"/>
      <c r="E17" s="19" t="n"/>
    </row>
    <row r="18" ht="15" customHeight="1" s="10">
      <c r="B18" s="19" t="n"/>
      <c r="C18" s="19" t="n"/>
      <c r="D18" s="19" t="n"/>
      <c r="E18" s="19" t="n"/>
    </row>
    <row r="19" ht="15" customHeight="1" s="10">
      <c r="B19" s="19" t="n"/>
      <c r="C19" s="19" t="n"/>
      <c r="D19" s="19" t="n"/>
      <c r="E19" s="19" t="n"/>
    </row>
    <row r="20" ht="15" customHeight="1" s="10">
      <c r="B20" s="19" t="n"/>
      <c r="C20" s="19" t="n"/>
      <c r="D20" s="19" t="n"/>
      <c r="E20" s="19" t="n"/>
    </row>
    <row r="21" ht="15" customHeight="1" s="10">
      <c r="B21" s="19" t="n"/>
      <c r="C21" s="19" t="n"/>
      <c r="D21" s="19" t="n"/>
      <c r="E21" s="19" t="n"/>
    </row>
    <row r="22" ht="15" customHeight="1" s="10">
      <c r="B22" s="19" t="n"/>
      <c r="C22" s="19" t="n"/>
      <c r="D22" s="19" t="n"/>
      <c r="E22" s="19" t="n"/>
    </row>
    <row r="23" ht="15" customHeight="1" s="10">
      <c r="B23" s="19" t="n"/>
      <c r="C23" s="19" t="n"/>
      <c r="D23" s="19" t="n"/>
      <c r="E23" s="19" t="n"/>
    </row>
    <row r="24" ht="15" customHeight="1" s="10">
      <c r="B24" s="19" t="n"/>
      <c r="C24" s="19" t="n"/>
      <c r="D24" s="19" t="n"/>
      <c r="E24" s="19" t="n"/>
    </row>
    <row r="25" ht="15" customHeight="1" s="10">
      <c r="B25" s="19" t="n"/>
      <c r="C25" s="19" t="n"/>
      <c r="D25" s="19" t="n"/>
      <c r="E25" s="19" t="n"/>
    </row>
  </sheetData>
  <autoFilter ref="B5:E25"/>
  <mergeCells count="2">
    <mergeCell ref="B3:E3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8" customWidth="1" style="9" min="2" max="2"/>
    <col width="38" customWidth="1" style="9" min="3" max="3"/>
    <col width="16" customWidth="1" style="9" min="4" max="4"/>
    <col width="32" customWidth="1" style="9" min="5" max="5"/>
    <col width="30" customWidth="1" style="9" min="6" max="6"/>
  </cols>
  <sheetData>
    <row r="2" ht="21.75" customHeight="1" s="10">
      <c r="B2" s="11" t="inlineStr">
        <is>
          <t>Gap Tracker</t>
        </is>
      </c>
    </row>
    <row r="3" ht="15" customHeight="1" s="10">
      <c r="B3" s="12" t="inlineStr">
        <is>
          <t>Must-fix gaps identified pre-kickoff. G2-G6 closed by SPEC-001/012/013/014/015.</t>
        </is>
      </c>
    </row>
    <row r="5" ht="15" customHeight="1" s="10">
      <c r="B5" s="14" t="inlineStr">
        <is>
          <t>Gap</t>
        </is>
      </c>
      <c r="C5" s="14" t="inlineStr">
        <is>
          <t>Description</t>
        </is>
      </c>
      <c r="D5" s="14" t="inlineStr">
        <is>
          <t>Status</t>
        </is>
      </c>
      <c r="E5" s="14" t="inlineStr">
        <is>
          <t>Closed by</t>
        </is>
      </c>
      <c r="F5" s="14" t="inlineStr">
        <is>
          <t>Owner / Notes</t>
        </is>
      </c>
    </row>
    <row r="6" ht="15" customHeight="1" s="10">
      <c r="B6" s="16" t="inlineStr">
        <is>
          <t>G1</t>
        </is>
      </c>
      <c r="C6" s="19" t="inlineStr">
        <is>
          <t>Pydantic v2 contracts not yet implemented</t>
        </is>
      </c>
      <c r="D6" s="16" t="inlineStr">
        <is>
          <t>In progress</t>
        </is>
      </c>
      <c r="E6" s="19" t="inlineStr">
        <is>
          <t>S1.2 (spec ready)</t>
        </is>
      </c>
      <c r="F6" s="19" t="inlineStr">
        <is>
          <t>Code authored in Claude Code</t>
        </is>
      </c>
    </row>
    <row r="7" ht="27.75" customHeight="1" s="10">
      <c r="B7" s="16" t="inlineStr">
        <is>
          <t>G2</t>
        </is>
      </c>
      <c r="C7" s="19" t="inlineStr">
        <is>
          <t>AssetDescriptor / TagDescriptor not formally specified</t>
        </is>
      </c>
      <c r="D7" s="16" t="inlineStr">
        <is>
          <t>Done</t>
        </is>
      </c>
      <c r="E7" s="19" t="inlineStr">
        <is>
          <t>SPEC-001 patch</t>
        </is>
      </c>
      <c r="F7" s="19" t="inlineStr">
        <is>
          <t>Closed pre-kickoff</t>
        </is>
      </c>
    </row>
    <row r="8" ht="15" customHeight="1" s="10">
      <c r="B8" s="16" t="inlineStr">
        <is>
          <t>G3</t>
        </is>
      </c>
      <c r="C8" s="19" t="inlineStr">
        <is>
          <t>Probe trigger schema undefined</t>
        </is>
      </c>
      <c r="D8" s="16" t="inlineStr">
        <is>
          <t>Done</t>
        </is>
      </c>
      <c r="E8" s="19" t="inlineStr">
        <is>
          <t>SPEC-012</t>
        </is>
      </c>
      <c r="F8" s="19" t="inlineStr">
        <is>
          <t>Closed pre-kickoff</t>
        </is>
      </c>
    </row>
    <row r="9" ht="15" customHeight="1" s="10">
      <c r="B9" s="16" t="inlineStr">
        <is>
          <t>G4</t>
        </is>
      </c>
      <c r="C9" s="19" t="inlineStr">
        <is>
          <t>Tenant onboarding workflow undefined</t>
        </is>
      </c>
      <c r="D9" s="16" t="inlineStr">
        <is>
          <t>Done</t>
        </is>
      </c>
      <c r="E9" s="19" t="inlineStr">
        <is>
          <t>SPEC-013</t>
        </is>
      </c>
      <c r="F9" s="19" t="inlineStr">
        <is>
          <t>Closed pre-kickoff</t>
        </is>
      </c>
    </row>
    <row r="10" ht="15" customHeight="1" s="10">
      <c r="B10" s="16" t="inlineStr">
        <is>
          <t>G5</t>
        </is>
      </c>
      <c r="C10" s="19" t="inlineStr">
        <is>
          <t>Simulator fixture schema undefined</t>
        </is>
      </c>
      <c r="D10" s="16" t="inlineStr">
        <is>
          <t>Done</t>
        </is>
      </c>
      <c r="E10" s="19" t="inlineStr">
        <is>
          <t>SPEC-014</t>
        </is>
      </c>
      <c r="F10" s="19" t="inlineStr">
        <is>
          <t>Closed pre-kickoff</t>
        </is>
      </c>
    </row>
    <row r="11" ht="15" customHeight="1" s="10">
      <c r="B11" s="16" t="inlineStr">
        <is>
          <t>G6</t>
        </is>
      </c>
      <c r="C11" s="19" t="inlineStr">
        <is>
          <t>Equipment template schema undefined</t>
        </is>
      </c>
      <c r="D11" s="16" t="inlineStr">
        <is>
          <t>Done</t>
        </is>
      </c>
      <c r="E11" s="19" t="inlineStr">
        <is>
          <t>SPEC-015</t>
        </is>
      </c>
      <c r="F11" s="19" t="inlineStr">
        <is>
          <t>Closed pre-kickoff</t>
        </is>
      </c>
    </row>
    <row r="12" ht="15" customHeight="1" s="10">
      <c r="B12" s="16" t="inlineStr">
        <is>
          <t>G7</t>
        </is>
      </c>
      <c r="C12" s="19" t="inlineStr">
        <is>
          <t>Auth &amp; credential broker spec</t>
        </is>
      </c>
      <c r="D12" s="16" t="inlineStr">
        <is>
          <t>Not started</t>
        </is>
      </c>
      <c r="E12" s="19" t="inlineStr">
        <is>
          <t>Deferred</t>
        </is>
      </c>
      <c r="F12" s="19" t="inlineStr">
        <is>
          <t>Post-W4</t>
        </is>
      </c>
    </row>
    <row r="13" ht="15" customHeight="1" s="10">
      <c r="B13" s="16" t="inlineStr">
        <is>
          <t>G8</t>
        </is>
      </c>
      <c r="C13" s="19" t="inlineStr">
        <is>
          <t>Knowledge graph schema (Neo4j)</t>
        </is>
      </c>
      <c r="D13" s="16" t="inlineStr">
        <is>
          <t>Not started</t>
        </is>
      </c>
      <c r="E13" s="19" t="inlineStr">
        <is>
          <t>Deferred</t>
        </is>
      </c>
      <c r="F13" s="19" t="inlineStr">
        <is>
          <t>Tier 3 work</t>
        </is>
      </c>
    </row>
    <row r="14" ht="15" customHeight="1" s="10">
      <c r="B14" s="16" t="inlineStr">
        <is>
          <t>G9</t>
        </is>
      </c>
      <c r="C14" s="19" t="inlineStr">
        <is>
          <t>Probe state machine formalization</t>
        </is>
      </c>
      <c r="D14" s="16" t="inlineStr">
        <is>
          <t>Not started</t>
        </is>
      </c>
      <c r="E14" s="19" t="inlineStr">
        <is>
          <t>Deferred</t>
        </is>
      </c>
      <c r="F14" s="19" t="inlineStr">
        <is>
          <t>Folded into S6.1</t>
        </is>
      </c>
    </row>
    <row r="15" ht="15" customHeight="1" s="10">
      <c r="B15" s="16" t="inlineStr">
        <is>
          <t>G10</t>
        </is>
      </c>
      <c r="C15" s="19" t="inlineStr">
        <is>
          <t>Budget enforcement spec</t>
        </is>
      </c>
      <c r="D15" s="16" t="inlineStr">
        <is>
          <t>Not started</t>
        </is>
      </c>
      <c r="E15" s="19" t="inlineStr">
        <is>
          <t>Deferred</t>
        </is>
      </c>
      <c r="F15" s="19" t="inlineStr">
        <is>
          <t>S5.3 covers basics</t>
        </is>
      </c>
    </row>
    <row r="16" ht="15" customHeight="1" s="10">
      <c r="B16" s="16" t="inlineStr">
        <is>
          <t>G11</t>
        </is>
      </c>
      <c r="C16" s="19" t="inlineStr">
        <is>
          <t>Eval scoring rubric</t>
        </is>
      </c>
      <c r="D16" s="16" t="inlineStr">
        <is>
          <t>Not started</t>
        </is>
      </c>
      <c r="E16" s="19" t="inlineStr">
        <is>
          <t>Deferred</t>
        </is>
      </c>
      <c r="F16" s="19" t="inlineStr">
        <is>
          <t>S9.2 will define</t>
        </is>
      </c>
    </row>
    <row r="17" ht="15" customHeight="1" s="10">
      <c r="B17" s="16" t="inlineStr">
        <is>
          <t>G12</t>
        </is>
      </c>
      <c r="C17" s="19" t="inlineStr">
        <is>
          <t>Multi-tenant isolation guarantees</t>
        </is>
      </c>
      <c r="D17" s="16" t="inlineStr">
        <is>
          <t>Not started</t>
        </is>
      </c>
      <c r="E17" s="19" t="inlineStr">
        <is>
          <t>Deferred</t>
        </is>
      </c>
      <c r="F17" s="19" t="inlineStr">
        <is>
          <t>Post-MVP</t>
        </is>
      </c>
    </row>
  </sheetData>
  <autoFilter ref="B5:F17"/>
  <mergeCells count="2">
    <mergeCell ref="B2:F2"/>
    <mergeCell ref="B3:F3"/>
  </mergeCells>
  <conditionalFormatting sqref="D6:D27">
    <cfRule type="cellIs" rank="0" priority="2" equalAverage="0" operator="equal" aboveAverage="0" dxfId="6" text="" percent="0" bottom="0">
      <formula>"Done"</formula>
    </cfRule>
    <cfRule type="cellIs" rank="0" priority="3" equalAverage="0" operator="equal" aboveAverage="0" dxfId="7" text="" percent="0" bottom="0">
      <formula>"In progress"</formula>
    </cfRule>
    <cfRule type="cellIs" rank="0" priority="4" equalAverage="0" operator="equal" aboveAverage="0" dxfId="8" text="" percent="0" bottom="0">
      <formula>"Blocked"</formula>
    </cfRule>
    <cfRule type="cellIs" rank="0" priority="5" equalAverage="0" operator="equal" aboveAverage="0" dxfId="9" text="" percent="0" bottom="0">
      <formula>"Not started"</formula>
    </cfRule>
    <cfRule type="cellIs" rank="0" priority="6" equalAverage="0" operator="equal" aboveAverage="0" dxfId="10" text="" percent="0" bottom="0">
      <formula>"Paused"</formula>
    </cfRule>
    <cfRule type="cellIs" rank="0" priority="7" equalAverage="0" operator="equal" aboveAverage="0" dxfId="11" text="" percent="0" bottom="0">
      <formula>"Cancelled"</formula>
    </cfRule>
  </conditionalFormatting>
  <dataValidations count="1">
    <dataValidation sqref="D6:D27" showDropDown="0" showInputMessage="0" showErrorMessage="0" allowBlank="1" type="list" errorStyle="stop" operator="between">
      <formula1>"Not started,In progress,Done,Blocked,Paused,Cancelled"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E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9" min="1" max="1"/>
    <col width="14" customWidth="1" style="9" min="2" max="2"/>
    <col width="18" customWidth="1" style="9" min="3" max="3"/>
    <col width="50" customWidth="1" style="9" min="4" max="4"/>
    <col width="36" customWidth="1" style="9" min="5" max="5"/>
  </cols>
  <sheetData>
    <row r="2" ht="21.75" customHeight="1" s="10">
      <c r="B2" s="11" t="inlineStr">
        <is>
          <t>Lessons Learned</t>
        </is>
      </c>
    </row>
    <row r="3" ht="15" customHeight="1" s="10">
      <c r="B3" s="12" t="inlineStr">
        <is>
          <t>Capture insights as they emerge — what worked, what didn't, what to change.</t>
        </is>
      </c>
    </row>
    <row r="5" ht="15" customHeight="1" s="10">
      <c r="B5" s="14" t="inlineStr">
        <is>
          <t>Date</t>
        </is>
      </c>
      <c r="C5" s="14" t="inlineStr">
        <is>
          <t>Topic</t>
        </is>
      </c>
      <c r="D5" s="14" t="inlineStr">
        <is>
          <t>Lesson</t>
        </is>
      </c>
      <c r="E5" s="14" t="inlineStr">
        <is>
          <t>Action / Follow-up</t>
        </is>
      </c>
    </row>
    <row r="6" ht="15" customHeight="1" s="10">
      <c r="B6" s="19" t="inlineStr">
        <is>
          <t>2026-06-04</t>
        </is>
      </c>
      <c r="C6" s="19" t="inlineStr">
        <is>
          <t>Simulators</t>
        </is>
      </c>
      <c r="D6" s="19" t="inlineStr">
        <is>
          <t>Sim vibration is trend-only (scalar RMS trends, no FFT spectra). Acceptable for MVP — agent reasons on thresholds/trends from the template.</t>
        </is>
      </c>
      <c r="E6" s="19" t="inlineStr">
        <is>
          <t>Pilot validation against real PI data must cover spectrum cases (1x/2x/broadband signatures).</t>
        </is>
      </c>
    </row>
    <row r="7" ht="15" customHeight="1" s="10">
      <c r="B7" s="19" t="n"/>
      <c r="C7" s="19" t="n"/>
      <c r="D7" s="19" t="n"/>
      <c r="E7" s="19" t="n"/>
    </row>
    <row r="8" ht="15" customHeight="1" s="10">
      <c r="B8" s="19" t="n"/>
      <c r="C8" s="19" t="n"/>
      <c r="D8" s="19" t="n"/>
      <c r="E8" s="19" t="n"/>
    </row>
    <row r="9" ht="15" customHeight="1" s="10">
      <c r="B9" s="19" t="n"/>
      <c r="C9" s="19" t="n"/>
      <c r="D9" s="19" t="n"/>
      <c r="E9" s="19" t="n"/>
    </row>
    <row r="10" ht="15" customHeight="1" s="10">
      <c r="B10" s="19" t="n"/>
      <c r="C10" s="19" t="n"/>
      <c r="D10" s="19" t="n"/>
      <c r="E10" s="19" t="n"/>
    </row>
    <row r="11" ht="15" customHeight="1" s="10">
      <c r="B11" s="19" t="n"/>
      <c r="C11" s="19" t="n"/>
      <c r="D11" s="19" t="n"/>
      <c r="E11" s="19" t="n"/>
    </row>
    <row r="12" ht="15" customHeight="1" s="10">
      <c r="B12" s="19" t="n"/>
      <c r="C12" s="19" t="n"/>
      <c r="D12" s="19" t="n"/>
      <c r="E12" s="19" t="n"/>
    </row>
    <row r="13" ht="15" customHeight="1" s="10">
      <c r="B13" s="19" t="n"/>
      <c r="C13" s="19" t="n"/>
      <c r="D13" s="19" t="n"/>
      <c r="E13" s="19" t="n"/>
    </row>
    <row r="14" ht="15" customHeight="1" s="10">
      <c r="B14" s="19" t="n"/>
      <c r="C14" s="19" t="n"/>
      <c r="D14" s="19" t="n"/>
      <c r="E14" s="19" t="n"/>
    </row>
    <row r="15" ht="15" customHeight="1" s="10">
      <c r="B15" s="19" t="n"/>
      <c r="C15" s="19" t="n"/>
      <c r="D15" s="19" t="n"/>
      <c r="E15" s="19" t="n"/>
    </row>
    <row r="16" ht="15" customHeight="1" s="10">
      <c r="B16" s="19" t="n"/>
      <c r="C16" s="19" t="n"/>
      <c r="D16" s="19" t="n"/>
      <c r="E16" s="19" t="n"/>
    </row>
    <row r="17" ht="15" customHeight="1" s="10">
      <c r="B17" s="19" t="n"/>
      <c r="C17" s="19" t="n"/>
      <c r="D17" s="19" t="n"/>
      <c r="E17" s="19" t="n"/>
    </row>
    <row r="18" ht="15" customHeight="1" s="10">
      <c r="B18" s="19" t="n"/>
      <c r="C18" s="19" t="n"/>
      <c r="D18" s="19" t="n"/>
      <c r="E18" s="19" t="n"/>
    </row>
    <row r="19" ht="15" customHeight="1" s="10">
      <c r="B19" s="19" t="n"/>
      <c r="C19" s="19" t="n"/>
      <c r="D19" s="19" t="n"/>
      <c r="E19" s="19" t="n"/>
    </row>
    <row r="20" ht="15" customHeight="1" s="10">
      <c r="B20" s="19" t="n"/>
      <c r="C20" s="19" t="n"/>
      <c r="D20" s="19" t="n"/>
      <c r="E20" s="19" t="n"/>
    </row>
    <row r="21" ht="15" customHeight="1" s="10">
      <c r="B21" s="19" t="n"/>
      <c r="C21" s="19" t="n"/>
      <c r="D21" s="19" t="n"/>
      <c r="E21" s="19" t="n"/>
    </row>
    <row r="22" ht="15" customHeight="1" s="10">
      <c r="B22" s="19" t="n"/>
      <c r="C22" s="19" t="n"/>
      <c r="D22" s="19" t="n"/>
      <c r="E22" s="19" t="n"/>
    </row>
    <row r="23" ht="15" customHeight="1" s="10">
      <c r="B23" s="19" t="n"/>
      <c r="C23" s="19" t="n"/>
      <c r="D23" s="19" t="n"/>
      <c r="E23" s="19" t="n"/>
    </row>
    <row r="24" ht="15" customHeight="1" s="10">
      <c r="B24" s="19" t="n"/>
      <c r="C24" s="19" t="n"/>
      <c r="D24" s="19" t="n"/>
      <c r="E24" s="19" t="n"/>
    </row>
    <row r="25" ht="15" customHeight="1" s="10">
      <c r="B25" s="19" t="n"/>
      <c r="C25" s="19" t="n"/>
      <c r="D25" s="19" t="n"/>
      <c r="E25" s="19" t="n"/>
    </row>
    <row r="26" ht="15" customHeight="1" s="10">
      <c r="B26" s="19" t="n"/>
      <c r="C26" s="19" t="n"/>
      <c r="D26" s="19" t="n"/>
      <c r="E26" s="19" t="n"/>
    </row>
    <row r="27" ht="15" customHeight="1" s="10">
      <c r="B27" s="19" t="n"/>
      <c r="C27" s="19" t="n"/>
      <c r="D27" s="19" t="n"/>
      <c r="E27" s="19" t="n"/>
    </row>
    <row r="28" ht="15" customHeight="1" s="10">
      <c r="B28" s="19" t="n"/>
      <c r="C28" s="19" t="n"/>
      <c r="D28" s="19" t="n"/>
      <c r="E28" s="19" t="n"/>
    </row>
    <row r="29" ht="15" customHeight="1" s="10">
      <c r="B29" s="19" t="n"/>
      <c r="C29" s="19" t="n"/>
      <c r="D29" s="19" t="n"/>
      <c r="E29" s="19" t="n"/>
    </row>
    <row r="30" ht="15" customHeight="1" s="10">
      <c r="B30" s="19" t="n"/>
      <c r="C30" s="19" t="n"/>
      <c r="D30" s="19" t="n"/>
      <c r="E30" s="19" t="n"/>
    </row>
    <row r="31" ht="15" customHeight="1" s="10">
      <c r="B31" s="19" t="n"/>
      <c r="C31" s="19" t="n"/>
      <c r="D31" s="19" t="n"/>
      <c r="E31" s="19" t="n"/>
    </row>
    <row r="32" ht="15" customHeight="1" s="10">
      <c r="B32" s="19" t="n"/>
      <c r="C32" s="19" t="n"/>
      <c r="D32" s="19" t="n"/>
      <c r="E32" s="19" t="n"/>
    </row>
    <row r="33" ht="15" customHeight="1" s="10">
      <c r="B33" s="19" t="n"/>
      <c r="C33" s="19" t="n"/>
      <c r="D33" s="19" t="n"/>
      <c r="E33" s="19" t="n"/>
    </row>
    <row r="34" ht="15" customHeight="1" s="10">
      <c r="B34" s="19" t="n"/>
      <c r="C34" s="19" t="n"/>
      <c r="D34" s="19" t="n"/>
      <c r="E34" s="19" t="n"/>
    </row>
    <row r="35" ht="15" customHeight="1" s="10">
      <c r="B35" s="19" t="n"/>
      <c r="C35" s="19" t="n"/>
      <c r="D35" s="19" t="n"/>
      <c r="E35" s="19" t="n"/>
    </row>
  </sheetData>
  <autoFilter ref="B5:E35"/>
  <mergeCells count="2">
    <mergeCell ref="B3:E3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2026-06-04T19:13:20Z</dcterms:created>
  <dcterms:modified xmlns:dcterms="http://purl.org/dc/terms/" xmlns:xsi="http://www.w3.org/2001/XMLSchema-instance" xsi:type="dcterms:W3CDTF">2026-06-09T20:02:46Z</dcterms:modified>
  <cp:revision>0</cp:revision>
</cp:coreProperties>
</file>